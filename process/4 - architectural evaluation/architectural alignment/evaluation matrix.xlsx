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aquim.motger\Projectes\study-sra\process\4 - architectural evaluation\architectural alignment\"/>
    </mc:Choice>
  </mc:AlternateContent>
  <xr:revisionPtr revIDLastSave="0" documentId="13_ncr:1_{35EF5DBD-9341-4943-BE1B-A667DADCA6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notation" sheetId="1" r:id="rId1"/>
    <sheet name="tools" sheetId="2" r:id="rId2"/>
    <sheet name="description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3" i="1" l="1"/>
  <c r="R33" i="1"/>
  <c r="P33" i="1"/>
  <c r="O33" i="1"/>
  <c r="N33" i="1"/>
  <c r="M33" i="1"/>
  <c r="L33" i="1"/>
  <c r="K33" i="1"/>
  <c r="I33" i="1"/>
  <c r="G33" i="1"/>
  <c r="D33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Y29" i="1"/>
  <c r="W29" i="1"/>
  <c r="Y28" i="1"/>
  <c r="W28" i="1"/>
  <c r="Y27" i="1"/>
  <c r="W27" i="1"/>
  <c r="Y26" i="1"/>
  <c r="W26" i="1"/>
  <c r="Y25" i="1"/>
  <c r="W25" i="1"/>
  <c r="Y24" i="1"/>
  <c r="W24" i="1"/>
  <c r="Y23" i="1"/>
  <c r="W23" i="1"/>
  <c r="Y22" i="1"/>
  <c r="W22" i="1"/>
  <c r="Y21" i="1"/>
  <c r="W21" i="1"/>
  <c r="Y20" i="1"/>
  <c r="W20" i="1"/>
  <c r="Y19" i="1"/>
  <c r="W19" i="1"/>
  <c r="Y18" i="1"/>
  <c r="W18" i="1"/>
  <c r="Y17" i="1"/>
  <c r="W17" i="1"/>
  <c r="Y16" i="1"/>
  <c r="W16" i="1"/>
  <c r="Y15" i="1"/>
  <c r="W15" i="1"/>
  <c r="Y14" i="1"/>
  <c r="W14" i="1"/>
  <c r="Y13" i="1"/>
  <c r="W13" i="1"/>
  <c r="Y12" i="1"/>
  <c r="W12" i="1"/>
  <c r="Y11" i="1"/>
  <c r="W11" i="1"/>
  <c r="Y10" i="1"/>
  <c r="W10" i="1"/>
  <c r="Y9" i="1"/>
  <c r="W9" i="1"/>
  <c r="Y8" i="1"/>
  <c r="W8" i="1"/>
  <c r="Y7" i="1"/>
  <c r="W7" i="1"/>
  <c r="Y6" i="1"/>
  <c r="W6" i="1"/>
  <c r="Y5" i="1"/>
  <c r="W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tc={5b608357-b4a4-4d60-b305-25aa828cd03a}</author>
  </authors>
  <commentList>
    <comment ref="C26" authorId="0" shapeId="0" xr:uid="{5B608357-B4A4-4D60-B305-25AA828CD03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Insanely extensive repository - need to revisit
</t>
        </r>
      </text>
    </comment>
  </commentList>
</comments>
</file>

<file path=xl/sharedStrings.xml><?xml version="1.0" encoding="utf-8"?>
<sst xmlns="http://schemas.openxmlformats.org/spreadsheetml/2006/main" count="226" uniqueCount="166">
  <si>
    <t>Tool ID</t>
  </si>
  <si>
    <t>Tool Name</t>
  </si>
  <si>
    <t>Architectural components</t>
  </si>
  <si>
    <t>PL</t>
  </si>
  <si>
    <t>SL</t>
  </si>
  <si>
    <t>DL</t>
  </si>
  <si>
    <t>CL</t>
  </si>
  <si>
    <t>Explainability Manager</t>
  </si>
  <si>
    <t>Export Manager</t>
  </si>
  <si>
    <t>Output Producer</t>
  </si>
  <si>
    <t>Orchestrator</t>
  </si>
  <si>
    <t>Input Consumer</t>
  </si>
  <si>
    <t>Preprocessor</t>
  </si>
  <si>
    <t>Processor</t>
  </si>
  <si>
    <t>Postprocessor</t>
  </si>
  <si>
    <t>Storage System</t>
  </si>
  <si>
    <t>Tool Metadata Repository</t>
  </si>
  <si>
    <t>Logger</t>
  </si>
  <si>
    <t>Output explanations</t>
  </si>
  <si>
    <t>Input-output traceability</t>
  </si>
  <si>
    <t>Output confidence</t>
  </si>
  <si>
    <t>Multiple format export</t>
  </si>
  <si>
    <t>Download, report or API integration</t>
  </si>
  <si>
    <t>Result consumption, formatting and visualization</t>
  </si>
  <si>
    <t>Coordination</t>
  </si>
  <si>
    <t>Orchestration</t>
  </si>
  <si>
    <t>Ingestion</t>
  </si>
  <si>
    <t>Preprocessing</t>
  </si>
  <si>
    <t>Task processing</t>
  </si>
  <si>
    <t>Postprocessing</t>
  </si>
  <si>
    <t>Runtime artifact preservation</t>
  </si>
  <si>
    <t>Execution history query and retrieval</t>
  </si>
  <si>
    <t>Metadata and documentation storage</t>
  </si>
  <si>
    <t>Execution data capture</t>
  </si>
  <si>
    <t>Unified logging interface</t>
  </si>
  <si>
    <t>Secure storage coordination</t>
  </si>
  <si>
    <t># Responsibilities Implemented by the Tool</t>
  </si>
  <si>
    <t># Components Implemented by the Tool</t>
  </si>
  <si>
    <t>R002</t>
  </si>
  <si>
    <t>OpenReq-DD (dependency detection)</t>
  </si>
  <si>
    <t xml:space="preserve">R012  </t>
  </si>
  <si>
    <t>Key Concepts Extraction Tool</t>
  </si>
  <si>
    <t>R014</t>
  </si>
  <si>
    <t>Non-functional Requirements Classifier</t>
  </si>
  <si>
    <t>R017</t>
  </si>
  <si>
    <t>Requirements Formalizer</t>
  </si>
  <si>
    <t>R018</t>
  </si>
  <si>
    <t>Relationship Recommender</t>
  </si>
  <si>
    <t>R024</t>
  </si>
  <si>
    <t xml:space="preserve">TT-RecS  </t>
  </si>
  <si>
    <t>R028</t>
  </si>
  <si>
    <t>Cause-effect recognition (CEREC)</t>
  </si>
  <si>
    <t>R032</t>
  </si>
  <si>
    <t>User Comment Classifier</t>
  </si>
  <si>
    <t>R039</t>
  </si>
  <si>
    <t>OS Issue Discussion classifier</t>
  </si>
  <si>
    <t>R046</t>
  </si>
  <si>
    <t>LadderBot</t>
  </si>
  <si>
    <t>R066</t>
  </si>
  <si>
    <t>DeepCoref</t>
  </si>
  <si>
    <t>R086</t>
  </si>
  <si>
    <t>DBRG</t>
  </si>
  <si>
    <t>R094</t>
  </si>
  <si>
    <t>TypedLinkDetection</t>
  </si>
  <si>
    <t xml:space="preserve">R103  </t>
  </si>
  <si>
    <t>Template Converter</t>
  </si>
  <si>
    <t>R108</t>
  </si>
  <si>
    <t>ForumLinker</t>
  </si>
  <si>
    <t>R113</t>
  </si>
  <si>
    <t>ZSL Classifier</t>
  </si>
  <si>
    <t>R125</t>
  </si>
  <si>
    <t>DeepSTL</t>
  </si>
  <si>
    <t>R129</t>
  </si>
  <si>
    <t>MAANA</t>
  </si>
  <si>
    <t>R137</t>
  </si>
  <si>
    <t>TAROT</t>
  </si>
  <si>
    <t>R149</t>
  </si>
  <si>
    <t xml:space="preserve">CiRA Classifier </t>
  </si>
  <si>
    <t>R155</t>
  </si>
  <si>
    <t>RECONSUM</t>
  </si>
  <si>
    <t>R161</t>
  </si>
  <si>
    <t>MaRK-II (Mine Requirements Knowledge)</t>
  </si>
  <si>
    <t>R166</t>
  </si>
  <si>
    <t>RE-BERT (Requirements Engineering using Bi</t>
  </si>
  <si>
    <t>R170</t>
  </si>
  <si>
    <t>C&amp;L</t>
  </si>
  <si>
    <t>R186</t>
  </si>
  <si>
    <t>User Story Instability Predictor</t>
  </si>
  <si>
    <t># Tools Implementing the Responsibility</t>
  </si>
  <si>
    <t># Tools Implementing the Component</t>
  </si>
  <si>
    <t>ID</t>
  </si>
  <si>
    <t>Tool</t>
  </si>
  <si>
    <t>Article</t>
  </si>
  <si>
    <t>Source</t>
  </si>
  <si>
    <t>Comment</t>
  </si>
  <si>
    <t>Motger de la Encarnación, J., Borrull Baraut, R., Palomares Bonache, C., &amp; Marco Gómez, J. (2019). OpenReq-DD: A requirements dependency detection tool. In Joint Proceedings of REFSQ-2019 workshops, doctoral symposium, live studies track, and poster track: co-located with the 25th International Conference on Requirements Engineering: Foundation for Software Quality (REFSQ 2019): Essen, Germany, March 18th, 2019 (pp. 1-5). CEUR-WS. org.</t>
  </si>
  <si>
    <t xml:space="preserve">https://github.com/OpenReqEU/dependency-detection
</t>
  </si>
  <si>
    <t>Spijkman, T., Winter, B., Bansidhar, S., &amp; Brinkkemper, S. (2021). Concept extraction in requirements elicitation sessions: Prototype and experimentation. In Utrecht Univ., Department of Information and Computing Sciences.</t>
  </si>
  <si>
    <t>https://bowis.github.io/keyextractor/</t>
  </si>
  <si>
    <t>Gnanasekaran, R. K., Chakraborty, S., Dehlinger, J., &amp; Deng, L. (2021). Using Recurrent Neural Networks for Classification of Natural Language-based Non-functional Requirements. In REFSQ Workshops.</t>
  </si>
  <si>
    <t>https://github.com/rgnana1/NFR_Classification_RNN_LSTM</t>
  </si>
  <si>
    <t>Gröpler, R., Kutty, L., Sudhi, V., &amp; Smalley, D. (2022). Automated Requirement Formalization Using Product Design Specifications. In REFSQ Workshops.</t>
  </si>
  <si>
    <t>https://github.com/ifak-prototypes/nlp_reform</t>
  </si>
  <si>
    <t>Bragilovski, M., Dalpiaz, F., &amp; Sturm, A. (2023, January). From User Stories to Domain Models: Recommending Relationships between Entities. In CEUR Workshop Proceedings (Vol. 3378). CEUR-WS.</t>
  </si>
  <si>
    <t>http://dx.doi.org/10.17632/tvjyw4pzsk.1</t>
  </si>
  <si>
    <t>Unterkalmsteiner, M. (2020, September). TT-RecS: The Taxonomic Trace Recommender System. In 2020 IEEE Seventh International Workshop on Artificial Intelligence for Requirements Engineering (AIRE) (pp. 18-21). IEEE.</t>
  </si>
  <si>
    <t>https://zenodo.org/record/3827169</t>
  </si>
  <si>
    <t>Frattini, J. (2020, September). CEREC: Causality Extraction from Requirements Artifacts. In 2020 IEEE Seventh International Workshop on Artificial Intelligence for Requirements Engineering (AIRE) (pp. 79-82). IEEE.</t>
  </si>
  <si>
    <t>https://zenodo.org/record/4009160</t>
  </si>
  <si>
    <t>Henao, P. R., Fischbach, J., Spies, D., Frattini, J., &amp; Vogelsang, A. (2021, September). Transfer learning for mining feature requests and bug reports from tweets and app store reviews. In 2021 IEEE 29th International Requirements Engineering Conference Workshops (REW) (pp. 80-86). IEEE.</t>
  </si>
  <si>
    <t>https://github.com/prestrepoh/Topic-Mining-From-Tweets-and-App-Reviews</t>
  </si>
  <si>
    <t>Mehder, Ş., &amp; Aydemir, F. B. (2022, August). Classification of Issue Discussions in Open Source Projects Using Deep Language Models. In 2022 IEEE 30th International Requirements Engineering Conference Workshops (REW) (pp. 176-182). IEEE.</t>
  </si>
  <si>
    <t>https://github.com/sevvalmehder/Classification-of-Issue-Discussions-in-Open-Source-Projects</t>
  </si>
  <si>
    <t>Rietz, T., &amp; Maedche, A. (2019, September). LadderBot: a requirements self-elicitation system. In 2019 IEEE 27th International Requirements Engineering Conference (RE) (pp. 357-362). IEEE.</t>
  </si>
  <si>
    <t>https://zenodo.org/record/3715047</t>
  </si>
  <si>
    <t>Wang, Y., Shi, L., Li, M., Wang, Q., &amp; Yang, Y. (2020, August). A deep context-wise method for coreference detection in natural language requirements. In 2020 IEEE 28th International Requirements Engineering Conference (RE) (pp. 180-191). IEEE.</t>
  </si>
  <si>
    <t>https://github.com/MeloFancy/DeepCoref</t>
  </si>
  <si>
    <t>Osama, M., Zaki-Ismail, A., Abdelrazek, M., Grundy, J., &amp; Ibrahim, A. (2021, September). DBRG: Description-Based Non-Quality Requirements Generator. In 2021 IEEE 29th International Requirements Engineering Conference (RE) (pp. 424-425). IEEE.</t>
  </si>
  <si>
    <t>https://github.com/ABC-7/DBRG</t>
  </si>
  <si>
    <t>This is a replacement for ScenarioAmigo (R176)</t>
  </si>
  <si>
    <t>Lüders, C. M., Pietz, T., &amp; Maalej, W. (2022, August). Automated Detection of Typed Links in Issue Trackers. In 2022 IEEE 30th International Requirements Engineering Conference (RE) (pp. 26-38). IEEE.</t>
  </si>
  <si>
    <t>https://github.com/RegenKordel/LYNX-TypedLinkDetection</t>
  </si>
  <si>
    <t>Tiwari, S., Shah, P., &amp; Khare, M. (2022, August). NL2RT: A Tool to Translate Natural Language Text into Requirements Templates (RTs). In 2022 IEEE 30th International Requirements Engineering Conference (RE) (pp. 262-263). IEEE.</t>
  </si>
  <si>
    <t>https://github.com/parv97/EARS-Rupp-s-template-conversion-</t>
  </si>
  <si>
    <t>Tizard, J., Devine, P., Wang, H., &amp; Blincoe, K. (2023). A Software Requirements Ecosystem: Linking Forum, Issue Tracker, and FAQs for Requirements Management. IEEE Transactions on Software Engineering.</t>
  </si>
  <si>
    <t>https://figshare.com/s/6b583d1882bb3f1baa1b</t>
  </si>
  <si>
    <t>Alhoshan, W., Ferrari, A., &amp; Zhao, L. (2023). Zero-shot learning for requirements classification: An exploratory study. Information and Software Technology, 159, 107202.</t>
  </si>
  <si>
    <t>https://github.com/waadalhoshan/ZSL4REQ</t>
  </si>
  <si>
    <t>He, J., Bartocci, E., Ničković, D., Isakovic, H., &amp; Grosu, R. (2022, May). DeepSTL: from english requirements to signal temporal logic. In Proceedings of the 44th International Conference on Software Engineering (pp. 610-622).</t>
  </si>
  <si>
    <t>https://figshare.com/articles/software/Artifact_of_Paper_DeepSTL_-_From_English_Requirements_to_Signal_Temporal_Logic_/19091282</t>
  </si>
  <si>
    <t>Ezzini, S., Abualhaija, S., Arora, C., Sabetzadeh, M., &amp; Briand, L. C. (2021, May). Using domain-specific corpora for improved handling of ambiguity in requirements. In 2021 IEEE/ACM 43rd International Conference on Software Engineering (ICSE) (pp. 1485-1497). IEEE.</t>
  </si>
  <si>
    <t>https://github.com/SNTSVV/MAANA</t>
  </si>
  <si>
    <t>Gao, H., Kuang, H., Sun, K., Ma, X., Egyed, A., Mäder, P., ... &amp; Zhang, H. (2022, October). Using Consensual Biterms from Text Structures of Requirements and Code to Improve IR-Based Traceability Recovery. In 37th IEEE/ACM International Conference on Automated Software Engineering (pp. 1-1).</t>
  </si>
  <si>
    <t>https://github.com/huiAlex/TAROT</t>
  </si>
  <si>
    <t>Fischbach, J., Frattini, J., Spaans, A., Kummeth, M., Vogelsang, A., Mendez, D., &amp; Unterkalmsteiner, M. (2021). Automatic detection of causality in requirement artifacts: the cira approach. In Requirements Engineering: Foundation for Software Quality: 27th International Working Conference, REFSQ 2021, Essen, Germany, April 12–15, 2021, Proceedings 27 (pp. 19-36). Springer International Publishing.</t>
  </si>
  <si>
    <t>https://zenodo.org/record/8033347</t>
  </si>
  <si>
    <t>Spijkman, T., de Bondt, X., Dalpiaz, F., &amp; Brinkkemper, S. (2023, April). Summarization of Elicitation Conversations to Locate Requirements-Relevant Information. In International Working Conference on Requirements Engineering: Foundation for Software Quality (pp. 122-139). Cham: Springer Nature Switzerland.</t>
  </si>
  <si>
    <t>https://github.com/RELabUU/REConSum</t>
  </si>
  <si>
    <t>Lian, X., Liu, W., &amp; Zhang, L. (2020). Assisting engineers extracting requirements on components from domain documents. Information and Software Technology, 118, 106196.</t>
  </si>
  <si>
    <t>https://github.com/lawenliu/MaRK</t>
  </si>
  <si>
    <t xml:space="preserve">RE-BERT (Requirements Engineering using Bidirectional Encoder Representations from Transformers)
</t>
  </si>
  <si>
    <t>de Araújo, A. F., &amp; Marcacini, R. M. (2021, March). Re-bert: automatic extraction of software requirements from app reviews using bert language model. In Proceedings of the 36th Annual ACM Symposium on Applied Computing (pp. 1321-1327).</t>
  </si>
  <si>
    <t>https://github.com/adailtonaraujo/RE-BERT</t>
  </si>
  <si>
    <t>Sarmiento-Calisaya, E., Cárdenas, E. H., Cornejo-Aparicio, V., &amp; Alzamora, G. S. (2020, March). Towards the improvement of natural language requirements descriptions: the C&amp;L tool. In Proceedings of the 35th Annual ACM Symposium on Applied Computing (pp. 1405-1413).</t>
  </si>
  <si>
    <t>https://github.com/edgarsc22/WACeL-Java</t>
  </si>
  <si>
    <t>This is a replacement for the Anaphoric Ambiguity Detector (R124)</t>
  </si>
  <si>
    <t>Levy, Y., Stern, R., Sturm, A., Mordoch, A., &amp; Bitan, Y. (2022). An impact-driven approach to predict user stories instability. Requirements Engineering, 27(2), 231-248.</t>
  </si>
  <si>
    <t>https://zenodo.org/record/5822986</t>
  </si>
  <si>
    <t>Layer</t>
  </si>
  <si>
    <t>Component</t>
  </si>
  <si>
    <t>Responsibilities</t>
  </si>
  <si>
    <t>Presentation Layer (PL)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</si>
  <si>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 xml:space="preserve">Output explanations: </t>
    </r>
    <r>
      <rPr>
        <sz val="10"/>
        <color theme="1"/>
        <rFont val="Arial"/>
      </rPr>
      <t xml:space="preserve">Retrieve and present output explanations
- </t>
    </r>
    <r>
      <rPr>
        <b/>
        <sz val="10"/>
        <color theme="1"/>
        <rFont val="Arial"/>
      </rPr>
      <t xml:space="preserve">Input-output traceability: </t>
    </r>
    <r>
      <rPr>
        <sz val="10"/>
        <color theme="1"/>
        <rFont val="Arial"/>
      </rPr>
      <t xml:space="preserve">Show traceability between outputs and inputs
- </t>
    </r>
    <r>
      <rPr>
        <b/>
        <sz val="10"/>
        <color theme="1"/>
        <rFont val="Arial"/>
      </rPr>
      <t xml:space="preserve">Output confidence: </t>
    </r>
    <r>
      <rPr>
        <sz val="10"/>
        <color theme="1"/>
        <rFont val="Arial"/>
      </rPr>
      <t>Present confidence or metadata for outputs</t>
    </r>
  </si>
  <si>
    <r>
      <rPr>
        <b/>
        <sz val="10"/>
        <color theme="1"/>
        <rFont val="Arial"/>
      </rPr>
      <t xml:space="preserve">- Multiple format export: </t>
    </r>
    <r>
      <rPr>
        <sz val="10"/>
        <color theme="1"/>
        <rFont val="Arial"/>
      </rPr>
      <t xml:space="preserve">Export results and artifacts in different formats
- </t>
    </r>
    <r>
      <rPr>
        <b/>
        <sz val="10"/>
        <color theme="1"/>
        <rFont val="Arial"/>
      </rPr>
      <t xml:space="preserve">Download, report or API integration: </t>
    </r>
    <r>
      <rPr>
        <sz val="10"/>
        <color theme="1"/>
        <rFont val="Arial"/>
      </rPr>
      <t>Integrate with download, report or API based mechanisms</t>
    </r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</si>
  <si>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 xml:space="preserve">Result consumption: </t>
    </r>
    <r>
      <rPr>
        <sz val="10"/>
        <color theme="1"/>
        <rFont val="Arial"/>
      </rPr>
      <t xml:space="preserve">Consumes output of service modules
- </t>
    </r>
    <r>
      <rPr>
        <b/>
        <sz val="10"/>
        <color theme="1"/>
        <rFont val="Arial"/>
      </rPr>
      <t xml:space="preserve">Result formatting and visualization: </t>
    </r>
    <r>
      <rPr>
        <sz val="10"/>
        <color theme="1"/>
        <rFont val="Arial"/>
      </rPr>
      <t xml:space="preserve">Formats and visualizes results in a user interface
- </t>
    </r>
    <r>
      <rPr>
        <b/>
        <sz val="10"/>
        <color theme="1"/>
        <rFont val="Arial"/>
      </rPr>
      <t xml:space="preserve">Coordination: </t>
    </r>
    <r>
      <rPr>
        <sz val="10"/>
        <color theme="1"/>
        <rFont val="Arial"/>
      </rPr>
      <t>Coordinate interaction with ExplainabilityModule and ExportModule</t>
    </r>
  </si>
  <si>
    <t>Service Layer (SL)</t>
  </si>
  <si>
    <r>
      <rPr>
        <b/>
        <sz val="10"/>
        <color theme="1"/>
        <rFont val="Arial"/>
      </rPr>
      <t xml:space="preserve">- Orchestration: </t>
    </r>
    <r>
      <rPr>
        <sz val="10"/>
        <color theme="1"/>
        <rFont val="Arial"/>
      </rPr>
      <t>Assembles a pipeline of input consumer, preprocessor(s), processor, postprocessor, and/or output producer, and coordinates the communication with the data layer</t>
    </r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</si>
  <si>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 xml:space="preserve">Ingestion: </t>
    </r>
    <r>
      <rPr>
        <sz val="10"/>
        <color theme="1"/>
        <rFont val="Arial"/>
      </rPr>
      <t>Reads a requirements artifact and parses the contained requirements into a common structure</t>
    </r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</si>
  <si>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 xml:space="preserve">Preprocessing: </t>
    </r>
    <r>
      <rPr>
        <sz val="10"/>
        <color theme="1"/>
        <rFont val="Arial"/>
      </rPr>
      <t>Enriches the parsed requirements with additional syntactic or semantic information</t>
    </r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</si>
  <si>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 xml:space="preserve">Task processing: </t>
    </r>
    <r>
      <rPr>
        <sz val="10"/>
        <color theme="1"/>
        <rFont val="Arial"/>
      </rPr>
      <t>Performs a RE-relevant task on the preprocessed requirements</t>
    </r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</si>
  <si>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 xml:space="preserve">Postprocessing: </t>
    </r>
    <r>
      <rPr>
        <sz val="10"/>
        <color theme="1"/>
        <rFont val="Arial"/>
      </rPr>
      <t>Prepares the results of a processor for visualization and analysis</t>
    </r>
  </si>
  <si>
    <t>Data Layer (DL)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</si>
  <si>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 xml:space="preserve">Runtime artifact preservation: </t>
    </r>
    <r>
      <rPr>
        <sz val="10"/>
        <color theme="1"/>
        <rFont val="Arial"/>
      </rPr>
      <t xml:space="preserve">Preserve runtime artifacts consumed/produced by service modules (input, output, benchmarks, runtime auxiliary info)
- </t>
    </r>
    <r>
      <rPr>
        <b/>
        <sz val="10"/>
        <color theme="1"/>
        <rFont val="Arial"/>
      </rPr>
      <t xml:space="preserve">Execution history query and retrieval: </t>
    </r>
    <r>
      <rPr>
        <sz val="10"/>
        <color theme="1"/>
        <rFont val="Arial"/>
      </rPr>
      <t>Provide query and retrieval of past executions</t>
    </r>
  </si>
  <si>
    <r>
      <rPr>
        <b/>
        <sz val="10"/>
        <color theme="1"/>
        <rFont val="Arial"/>
      </rPr>
      <t xml:space="preserve">- Metadata and documentation storage: </t>
    </r>
    <r>
      <rPr>
        <sz val="10"/>
        <color theme="1"/>
        <rFont val="Arial"/>
      </rPr>
      <t>Store and retrive static tool metadata, including: documentation (NLP4RE ID Card), module versions, dependencies, source code references, license, NLP technologies, NLP tasks, RE tasks</t>
    </r>
  </si>
  <si>
    <t>Cross-cutting Layer (CL)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</si>
  <si>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 xml:space="preserve">Execution data capture: </t>
    </r>
    <r>
      <rPr>
        <sz val="10"/>
        <color theme="1"/>
        <rFont val="Arial"/>
      </rPr>
      <t xml:space="preserve">Capture and structure execution data from all modules
- </t>
    </r>
    <r>
      <rPr>
        <b/>
        <sz val="10"/>
        <color theme="1"/>
        <rFont val="Arial"/>
      </rPr>
      <t xml:space="preserve">Unified logging interface: </t>
    </r>
    <r>
      <rPr>
        <sz val="10"/>
        <color theme="1"/>
        <rFont val="Arial"/>
      </rPr>
      <t xml:space="preserve">Provide a unified interface for logging and retrieval
- </t>
    </r>
    <r>
      <rPr>
        <b/>
        <sz val="10"/>
        <color theme="1"/>
        <rFont val="Arial"/>
      </rPr>
      <t xml:space="preserve">Secure storage coordination: </t>
    </r>
    <r>
      <rPr>
        <sz val="10"/>
        <color theme="1"/>
        <rFont val="Arial"/>
      </rPr>
      <t>Coordinate secure storage of input, output and auxiliary information with the data layer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</si>
</sst>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9"/>
      <color theme="1"/>
      <name val="Arial"/>
      <scheme val="minor"/>
    </font>
    <font>
      <b/>
      <sz val="9"/>
      <color rgb="FFFFFFFF"/>
      <name val="Arial"/>
      <scheme val="minor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b/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134F5C"/>
        <bgColor rgb="FF134F5C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0">
    <xf numFmtId="0" fontId="0" fillId="0" borderId="0" xfId="0" applyFont="1" applyAlignment="1"/>
    <xf numFmtId="0" fontId="1" fillId="0" borderId="0" xfId="0" applyFont="1" applyAlignment="1"/>
    <xf numFmtId="0" fontId="4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4" fillId="0" borderId="7" xfId="0" applyFont="1" applyBorder="1"/>
    <xf numFmtId="0" fontId="5" fillId="0" borderId="8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4" borderId="12" xfId="0" applyFont="1" applyFill="1" applyBorder="1" applyAlignment="1">
      <alignment horizontal="center" wrapText="1"/>
    </xf>
    <xf numFmtId="0" fontId="5" fillId="5" borderId="12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textRotation="90"/>
    </xf>
    <xf numFmtId="0" fontId="5" fillId="3" borderId="5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6" borderId="12" xfId="0" applyFont="1" applyFill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4" fillId="0" borderId="0" xfId="0" applyFont="1" applyAlignment="1"/>
    <xf numFmtId="49" fontId="4" fillId="0" borderId="17" xfId="0" applyNumberFormat="1" applyFont="1" applyBorder="1" applyAlignment="1"/>
    <xf numFmtId="0" fontId="4" fillId="0" borderId="17" xfId="0" applyFont="1" applyBorder="1" applyAlignment="1"/>
    <xf numFmtId="0" fontId="4" fillId="3" borderId="5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0" xfId="0" applyFont="1"/>
    <xf numFmtId="0" fontId="4" fillId="0" borderId="20" xfId="0" applyFont="1" applyBorder="1"/>
    <xf numFmtId="0" fontId="4" fillId="0" borderId="2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1" xfId="0" applyFont="1" applyBorder="1" applyAlignment="1"/>
    <xf numFmtId="0" fontId="4" fillId="0" borderId="2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8" borderId="0" xfId="0" applyFont="1" applyFill="1" applyAlignment="1"/>
    <xf numFmtId="0" fontId="6" fillId="8" borderId="0" xfId="0" applyFont="1" applyFill="1" applyAlignment="1">
      <alignment wrapText="1"/>
    </xf>
    <xf numFmtId="49" fontId="7" fillId="0" borderId="0" xfId="0" applyNumberFormat="1" applyFont="1"/>
    <xf numFmtId="0" fontId="7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/>
    <xf numFmtId="49" fontId="7" fillId="0" borderId="0" xfId="0" applyNumberFormat="1" applyFont="1" applyAlignment="1"/>
    <xf numFmtId="0" fontId="10" fillId="0" borderId="10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6" fillId="9" borderId="12" xfId="0" applyFont="1" applyFill="1" applyBorder="1" applyAlignment="1"/>
    <xf numFmtId="0" fontId="6" fillId="9" borderId="12" xfId="0" applyFont="1" applyFill="1" applyBorder="1" applyAlignment="1">
      <alignment wrapText="1"/>
    </xf>
    <xf numFmtId="0" fontId="12" fillId="3" borderId="12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2" fillId="4" borderId="12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horizontal="left" vertical="center" wrapText="1"/>
    </xf>
    <xf numFmtId="0" fontId="11" fillId="4" borderId="12" xfId="0" applyFont="1" applyFill="1" applyBorder="1" applyAlignment="1">
      <alignment horizontal="left" vertical="center" wrapText="1"/>
    </xf>
    <xf numFmtId="0" fontId="12" fillId="5" borderId="12" xfId="0" applyFont="1" applyFill="1" applyBorder="1" applyAlignment="1">
      <alignment horizontal="left" vertical="center"/>
    </xf>
    <xf numFmtId="0" fontId="11" fillId="5" borderId="12" xfId="0" applyFont="1" applyFill="1" applyBorder="1" applyAlignment="1">
      <alignment horizontal="left" vertical="center" wrapText="1"/>
    </xf>
    <xf numFmtId="0" fontId="12" fillId="5" borderId="12" xfId="0" applyFont="1" applyFill="1" applyBorder="1" applyAlignment="1">
      <alignment horizontal="left" vertical="center" wrapText="1"/>
    </xf>
    <xf numFmtId="0" fontId="12" fillId="6" borderId="12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5" fillId="6" borderId="3" xfId="0" applyFont="1" applyFill="1" applyBorder="1" applyAlignment="1">
      <alignment horizontal="center" wrapText="1"/>
    </xf>
    <xf numFmtId="0" fontId="1" fillId="0" borderId="1" xfId="0" applyFont="1" applyBorder="1" applyAlignment="1"/>
    <xf numFmtId="0" fontId="3" fillId="0" borderId="7" xfId="0" applyFont="1" applyBorder="1"/>
    <xf numFmtId="0" fontId="3" fillId="0" borderId="13" xfId="0" applyFont="1" applyBorder="1"/>
    <xf numFmtId="0" fontId="1" fillId="0" borderId="2" xfId="0" applyFont="1" applyBorder="1" applyAlignment="1"/>
    <xf numFmtId="0" fontId="3" fillId="0" borderId="9" xfId="0" applyFont="1" applyBorder="1"/>
    <xf numFmtId="0" fontId="3" fillId="0" borderId="14" xfId="0" applyFont="1" applyBorder="1"/>
    <xf numFmtId="0" fontId="2" fillId="2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3" fillId="0" borderId="16" xfId="0" applyFont="1" applyBorder="1"/>
    <xf numFmtId="0" fontId="3" fillId="0" borderId="22" xfId="0" applyFont="1" applyBorder="1"/>
    <xf numFmtId="0" fontId="1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1" fillId="0" borderId="6" xfId="0" applyFont="1" applyBorder="1" applyAlignment="1"/>
    <xf numFmtId="0" fontId="3" fillId="0" borderId="8" xfId="0" applyFont="1" applyBorder="1"/>
    <xf numFmtId="0" fontId="1" fillId="0" borderId="15" xfId="0" applyFont="1" applyBorder="1" applyAlignment="1"/>
    <xf numFmtId="0" fontId="12" fillId="3" borderId="20" xfId="0" applyFont="1" applyFill="1" applyBorder="1" applyAlignment="1">
      <alignment horizontal="left" vertical="center" wrapText="1"/>
    </xf>
    <xf numFmtId="0" fontId="3" fillId="0" borderId="23" xfId="0" applyFont="1" applyBorder="1"/>
    <xf numFmtId="0" fontId="3" fillId="0" borderId="24" xfId="0" applyFont="1" applyBorder="1"/>
    <xf numFmtId="0" fontId="12" fillId="4" borderId="20" xfId="0" applyFont="1" applyFill="1" applyBorder="1" applyAlignment="1">
      <alignment horizontal="left" vertical="center"/>
    </xf>
    <xf numFmtId="0" fontId="12" fillId="5" borderId="2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Quim Motger" id="{9f64d2c6-0af8-4b74-ac03-36be8ca62c00}" providerId="google-sheets"/>
  <x18tc:person displayName="Julian Frattini" id="{6d89c0ed-04a7-4a09-a75a-e4c1bd37704d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6" dT="2026-02-13T08:18:53.00" personId="{6d89c0ed-04a7-4a09-a75a-e4c1bd37704d}" id="{5b608357-b4a4-4d60-b305-25aa828cd03a}" done="1">
    <x18tc:text xml:space="preserve">Insanely extensive repository - need to revisit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restrepoh/Topic-Mining-From-Tweets-and-App-Reviews" TargetMode="External"/><Relationship Id="rId13" Type="http://schemas.openxmlformats.org/officeDocument/2006/relationships/hyperlink" Target="https://github.com/RegenKordel/LYNX-TypedLinkDetection" TargetMode="External"/><Relationship Id="rId18" Type="http://schemas.openxmlformats.org/officeDocument/2006/relationships/hyperlink" Target="https://github.com/SNTSVV/MAANA" TargetMode="External"/><Relationship Id="rId3" Type="http://schemas.openxmlformats.org/officeDocument/2006/relationships/hyperlink" Target="https://github.com/rgnana1/NFR_Classification_RNN_LSTM" TargetMode="External"/><Relationship Id="rId21" Type="http://schemas.openxmlformats.org/officeDocument/2006/relationships/hyperlink" Target="https://github.com/RELabUU/REConSum" TargetMode="External"/><Relationship Id="rId7" Type="http://schemas.openxmlformats.org/officeDocument/2006/relationships/hyperlink" Target="https://zenodo.org/record/4009160" TargetMode="External"/><Relationship Id="rId12" Type="http://schemas.openxmlformats.org/officeDocument/2006/relationships/hyperlink" Target="https://github.com/ABC-7/DBRG" TargetMode="External"/><Relationship Id="rId17" Type="http://schemas.openxmlformats.org/officeDocument/2006/relationships/hyperlink" Target="https://figshare.com/articles/software/Artifact_of_Paper_DeepSTL_-_From_English_Requirements_to_Signal_Temporal_Logic_/19091282" TargetMode="External"/><Relationship Id="rId25" Type="http://schemas.openxmlformats.org/officeDocument/2006/relationships/hyperlink" Target="https://zenodo.org/record/5822986" TargetMode="External"/><Relationship Id="rId2" Type="http://schemas.openxmlformats.org/officeDocument/2006/relationships/hyperlink" Target="https://bowis.github.io/keyextractor/" TargetMode="External"/><Relationship Id="rId16" Type="http://schemas.openxmlformats.org/officeDocument/2006/relationships/hyperlink" Target="https://github.com/waadalhoshan/ZSL4REQ" TargetMode="External"/><Relationship Id="rId20" Type="http://schemas.openxmlformats.org/officeDocument/2006/relationships/hyperlink" Target="https://zenodo.org/record/8033347" TargetMode="External"/><Relationship Id="rId1" Type="http://schemas.openxmlformats.org/officeDocument/2006/relationships/hyperlink" Target="https://github.com/OpenReqEU/dependency-detection" TargetMode="External"/><Relationship Id="rId6" Type="http://schemas.openxmlformats.org/officeDocument/2006/relationships/hyperlink" Target="https://zenodo.org/record/3827169" TargetMode="External"/><Relationship Id="rId11" Type="http://schemas.openxmlformats.org/officeDocument/2006/relationships/hyperlink" Target="https://github.com/MeloFancy/DeepCoref" TargetMode="External"/><Relationship Id="rId24" Type="http://schemas.openxmlformats.org/officeDocument/2006/relationships/hyperlink" Target="https://github.com/edgarsc22/WACeL-Java" TargetMode="External"/><Relationship Id="rId5" Type="http://schemas.openxmlformats.org/officeDocument/2006/relationships/hyperlink" Target="http://dx.doi.org/10.17632/tvjyw4pzsk.1" TargetMode="External"/><Relationship Id="rId15" Type="http://schemas.openxmlformats.org/officeDocument/2006/relationships/hyperlink" Target="https://figshare.com/s/6b583d1882bb3f1baa1b" TargetMode="External"/><Relationship Id="rId23" Type="http://schemas.openxmlformats.org/officeDocument/2006/relationships/hyperlink" Target="https://github.com/adailtonaraujo/RE-BERT" TargetMode="External"/><Relationship Id="rId10" Type="http://schemas.openxmlformats.org/officeDocument/2006/relationships/hyperlink" Target="https://zenodo.org/record/3715047" TargetMode="External"/><Relationship Id="rId19" Type="http://schemas.openxmlformats.org/officeDocument/2006/relationships/hyperlink" Target="https://github.com/huiAlex/TAROT" TargetMode="External"/><Relationship Id="rId4" Type="http://schemas.openxmlformats.org/officeDocument/2006/relationships/hyperlink" Target="https://github.com/ifak-prototypes/nlp_reform" TargetMode="External"/><Relationship Id="rId9" Type="http://schemas.openxmlformats.org/officeDocument/2006/relationships/hyperlink" Target="https://github.com/sevvalmehder/Classification-of-Issue-Discussions-in-Open-Source-Projects" TargetMode="External"/><Relationship Id="rId14" Type="http://schemas.openxmlformats.org/officeDocument/2006/relationships/hyperlink" Target="https://github.com/parv97/EARS-Rupp-s-template-conversion-" TargetMode="External"/><Relationship Id="rId22" Type="http://schemas.openxmlformats.org/officeDocument/2006/relationships/hyperlink" Target="https://github.com/lawenliu/Ma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3"/>
  <sheetViews>
    <sheetView tabSelected="1" workbookViewId="0">
      <pane xSplit="3" ySplit="4" topLeftCell="D5" activePane="bottomRight" state="frozen"/>
      <selection pane="topRight" activeCell="E1" sqref="E1"/>
      <selection pane="bottomLeft" activeCell="A5" sqref="A5"/>
      <selection pane="bottomRight" activeCell="D4" sqref="D1:D1048576"/>
    </sheetView>
  </sheetViews>
  <sheetFormatPr defaultColWidth="12.6640625" defaultRowHeight="15.75" customHeight="1" x14ac:dyDescent="0.25"/>
  <cols>
    <col min="1" max="1" width="3.21875" customWidth="1"/>
    <col min="2" max="2" width="7.44140625" customWidth="1"/>
    <col min="3" max="3" width="26.109375" customWidth="1"/>
    <col min="4" max="4" width="10.21875" customWidth="1"/>
    <col min="5" max="5" width="9.77734375" customWidth="1"/>
    <col min="6" max="6" width="9" customWidth="1"/>
    <col min="7" max="7" width="7.77734375" customWidth="1"/>
    <col min="8" max="8" width="8.6640625" customWidth="1"/>
    <col min="9" max="9" width="11.109375" customWidth="1"/>
    <col min="10" max="10" width="10.6640625" customWidth="1"/>
    <col min="11" max="11" width="11.44140625" customWidth="1"/>
    <col min="12" max="12" width="9.109375" customWidth="1"/>
    <col min="13" max="13" width="12.33203125" customWidth="1"/>
    <col min="14" max="14" width="9.21875" customWidth="1"/>
    <col min="15" max="15" width="13" customWidth="1"/>
    <col min="16" max="16" width="10.77734375" customWidth="1"/>
    <col min="17" max="17" width="8.109375" customWidth="1"/>
    <col min="18" max="18" width="11.77734375" customWidth="1"/>
    <col min="19" max="19" width="8.44140625" customWidth="1"/>
    <col min="20" max="20" width="7.77734375" customWidth="1"/>
    <col min="21" max="21" width="10.44140625" customWidth="1"/>
    <col min="22" max="22" width="1.88671875" customWidth="1"/>
    <col min="23" max="23" width="15.109375" customWidth="1"/>
    <col min="24" max="24" width="1.77734375" customWidth="1"/>
    <col min="25" max="25" width="15.109375" customWidth="1"/>
  </cols>
  <sheetData>
    <row r="1" spans="1:25" ht="13.2" x14ac:dyDescent="0.25">
      <c r="A1" s="1"/>
      <c r="B1" s="77" t="s">
        <v>0</v>
      </c>
      <c r="C1" s="80" t="s">
        <v>1</v>
      </c>
      <c r="D1" s="83" t="s">
        <v>2</v>
      </c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5"/>
      <c r="V1" s="2"/>
      <c r="W1" s="3"/>
      <c r="X1" s="4"/>
      <c r="Y1" s="5"/>
    </row>
    <row r="2" spans="1:25" ht="13.2" x14ac:dyDescent="0.25">
      <c r="A2" s="1"/>
      <c r="B2" s="78"/>
      <c r="C2" s="81"/>
      <c r="D2" s="90" t="s">
        <v>3</v>
      </c>
      <c r="E2" s="74"/>
      <c r="F2" s="74"/>
      <c r="G2" s="74"/>
      <c r="H2" s="74"/>
      <c r="I2" s="74"/>
      <c r="J2" s="75"/>
      <c r="K2" s="84" t="s">
        <v>4</v>
      </c>
      <c r="L2" s="74"/>
      <c r="M2" s="74"/>
      <c r="N2" s="74"/>
      <c r="O2" s="75"/>
      <c r="P2" s="85" t="s">
        <v>5</v>
      </c>
      <c r="Q2" s="74"/>
      <c r="R2" s="75"/>
      <c r="S2" s="73" t="s">
        <v>6</v>
      </c>
      <c r="T2" s="74"/>
      <c r="U2" s="75"/>
      <c r="V2" s="2"/>
      <c r="W2" s="6"/>
      <c r="X2" s="4"/>
      <c r="Y2" s="7"/>
    </row>
    <row r="3" spans="1:25" ht="48.75" customHeight="1" x14ac:dyDescent="0.25">
      <c r="A3" s="1"/>
      <c r="B3" s="78"/>
      <c r="C3" s="81"/>
      <c r="D3" s="91" t="s">
        <v>7</v>
      </c>
      <c r="E3" s="74"/>
      <c r="F3" s="75"/>
      <c r="G3" s="91" t="s">
        <v>8</v>
      </c>
      <c r="H3" s="75"/>
      <c r="I3" s="91" t="s">
        <v>9</v>
      </c>
      <c r="J3" s="75"/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6" t="s">
        <v>15</v>
      </c>
      <c r="Q3" s="75"/>
      <c r="R3" s="9" t="s">
        <v>16</v>
      </c>
      <c r="S3" s="76" t="s">
        <v>17</v>
      </c>
      <c r="T3" s="74"/>
      <c r="U3" s="75"/>
      <c r="V3" s="10"/>
      <c r="W3" s="6"/>
      <c r="X3" s="4"/>
      <c r="Y3" s="7"/>
    </row>
    <row r="4" spans="1:25" ht="60" x14ac:dyDescent="0.25">
      <c r="A4" s="1"/>
      <c r="B4" s="79"/>
      <c r="C4" s="82"/>
      <c r="D4" s="11" t="s">
        <v>18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2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9" t="s">
        <v>30</v>
      </c>
      <c r="Q4" s="9" t="s">
        <v>31</v>
      </c>
      <c r="R4" s="9" t="s">
        <v>32</v>
      </c>
      <c r="S4" s="13" t="s">
        <v>33</v>
      </c>
      <c r="T4" s="13" t="s">
        <v>34</v>
      </c>
      <c r="U4" s="13" t="s">
        <v>35</v>
      </c>
      <c r="V4" s="10"/>
      <c r="W4" s="14" t="s">
        <v>36</v>
      </c>
      <c r="X4" s="4"/>
      <c r="Y4" s="15" t="s">
        <v>37</v>
      </c>
    </row>
    <row r="5" spans="1:25" ht="13.2" x14ac:dyDescent="0.25">
      <c r="A5" s="16" t="b">
        <v>1</v>
      </c>
      <c r="B5" s="17" t="s">
        <v>38</v>
      </c>
      <c r="C5" s="18" t="s">
        <v>39</v>
      </c>
      <c r="D5" s="19" t="b">
        <v>0</v>
      </c>
      <c r="E5" s="20" t="b">
        <v>1</v>
      </c>
      <c r="F5" s="20" t="b">
        <v>0</v>
      </c>
      <c r="G5" s="20" t="b">
        <v>0</v>
      </c>
      <c r="H5" s="20" t="b">
        <v>1</v>
      </c>
      <c r="I5" s="21" t="b">
        <v>0</v>
      </c>
      <c r="J5" s="21" t="b">
        <v>0</v>
      </c>
      <c r="K5" s="22" t="b">
        <v>1</v>
      </c>
      <c r="L5" s="23" t="b">
        <v>1</v>
      </c>
      <c r="M5" s="23" t="b">
        <v>1</v>
      </c>
      <c r="N5" s="23" t="b">
        <v>1</v>
      </c>
      <c r="O5" s="23" t="b">
        <v>1</v>
      </c>
      <c r="P5" s="24" t="b">
        <v>0</v>
      </c>
      <c r="Q5" s="25" t="b">
        <v>0</v>
      </c>
      <c r="R5" s="24" t="b">
        <v>0</v>
      </c>
      <c r="S5" s="26" t="b">
        <v>0</v>
      </c>
      <c r="T5" s="26" t="b">
        <v>1</v>
      </c>
      <c r="U5" s="27" t="b">
        <v>0</v>
      </c>
      <c r="V5" s="2"/>
      <c r="W5" s="28">
        <f t="shared" ref="W5:W29" si="0">COUNTIF(D5:S5,TRUE)</f>
        <v>7</v>
      </c>
      <c r="X5" s="4"/>
      <c r="Y5" s="29">
        <f t="shared" ref="Y5:Y29" si="1">IF(AND(D5,E5,F5),1,0)
+IF(AND(G5,H5),1,0)
+IF(AND(I5,J5),1,0)
+IF(K5,1,0)
+IF(L5,1,0)
+IF(M5,1,0)
+IF(N5,1,0)
+IF(O5,1,0)
+IF(AND(P5,Q5),1,0)
+IF(R5,1,0)
+IF(AND(S5,T5,U5),1,0)</f>
        <v>5</v>
      </c>
    </row>
    <row r="6" spans="1:25" ht="13.2" x14ac:dyDescent="0.25">
      <c r="A6" s="16" t="b">
        <v>1</v>
      </c>
      <c r="B6" s="17" t="s">
        <v>40</v>
      </c>
      <c r="C6" s="18" t="s">
        <v>41</v>
      </c>
      <c r="D6" s="30" t="b">
        <v>0</v>
      </c>
      <c r="E6" s="31" t="b">
        <v>0</v>
      </c>
      <c r="F6" s="31" t="b">
        <v>1</v>
      </c>
      <c r="G6" s="31" t="b">
        <v>0</v>
      </c>
      <c r="H6" s="21" t="b">
        <v>0</v>
      </c>
      <c r="I6" s="21" t="b">
        <v>0</v>
      </c>
      <c r="J6" s="21" t="b">
        <v>0</v>
      </c>
      <c r="K6" s="32" t="b">
        <v>0</v>
      </c>
      <c r="L6" s="22" t="b">
        <v>1</v>
      </c>
      <c r="M6" s="32" t="b">
        <v>0</v>
      </c>
      <c r="N6" s="22" t="b">
        <v>1</v>
      </c>
      <c r="O6" s="22" t="b">
        <v>1</v>
      </c>
      <c r="P6" s="25" t="b">
        <v>0</v>
      </c>
      <c r="Q6" s="25" t="b">
        <v>0</v>
      </c>
      <c r="R6" s="25" t="b">
        <v>0</v>
      </c>
      <c r="S6" s="27" t="b">
        <v>0</v>
      </c>
      <c r="T6" s="27" t="b">
        <v>0</v>
      </c>
      <c r="U6" s="27" t="b">
        <v>0</v>
      </c>
      <c r="V6" s="2"/>
      <c r="W6" s="28">
        <f t="shared" si="0"/>
        <v>4</v>
      </c>
      <c r="X6" s="4"/>
      <c r="Y6" s="29">
        <f t="shared" si="1"/>
        <v>3</v>
      </c>
    </row>
    <row r="7" spans="1:25" ht="13.2" x14ac:dyDescent="0.25">
      <c r="A7" s="16" t="b">
        <v>1</v>
      </c>
      <c r="B7" s="17" t="s">
        <v>42</v>
      </c>
      <c r="C7" s="18" t="s">
        <v>43</v>
      </c>
      <c r="D7" s="30" t="b">
        <v>0</v>
      </c>
      <c r="E7" s="31" t="b">
        <v>0</v>
      </c>
      <c r="F7" s="31" t="b">
        <v>1</v>
      </c>
      <c r="G7" s="31" t="b">
        <v>0</v>
      </c>
      <c r="H7" s="21" t="b">
        <v>0</v>
      </c>
      <c r="I7" s="21" t="b">
        <v>0</v>
      </c>
      <c r="J7" s="21" t="b">
        <v>0</v>
      </c>
      <c r="K7" s="32" t="b">
        <v>0</v>
      </c>
      <c r="L7" s="32" t="b">
        <v>0</v>
      </c>
      <c r="M7" s="22" t="b">
        <v>1</v>
      </c>
      <c r="N7" s="22" t="b">
        <v>1</v>
      </c>
      <c r="O7" s="32" t="b">
        <v>0</v>
      </c>
      <c r="P7" s="25" t="b">
        <v>0</v>
      </c>
      <c r="Q7" s="25" t="b">
        <v>0</v>
      </c>
      <c r="R7" s="25" t="b">
        <v>0</v>
      </c>
      <c r="S7" s="33" t="b">
        <v>1</v>
      </c>
      <c r="T7" s="27" t="b">
        <v>0</v>
      </c>
      <c r="U7" s="27" t="b">
        <v>0</v>
      </c>
      <c r="V7" s="2"/>
      <c r="W7" s="28">
        <f t="shared" si="0"/>
        <v>4</v>
      </c>
      <c r="X7" s="4"/>
      <c r="Y7" s="29">
        <f t="shared" si="1"/>
        <v>2</v>
      </c>
    </row>
    <row r="8" spans="1:25" ht="13.2" x14ac:dyDescent="0.25">
      <c r="A8" s="16" t="b">
        <v>1</v>
      </c>
      <c r="B8" s="17" t="s">
        <v>44</v>
      </c>
      <c r="C8" s="18" t="s">
        <v>45</v>
      </c>
      <c r="D8" s="30" t="b">
        <v>1</v>
      </c>
      <c r="E8" s="31" t="b">
        <v>0</v>
      </c>
      <c r="F8" s="31" t="b">
        <v>0</v>
      </c>
      <c r="G8" s="31" t="b">
        <v>0</v>
      </c>
      <c r="H8" s="21" t="b">
        <v>0</v>
      </c>
      <c r="I8" s="31" t="b">
        <v>1</v>
      </c>
      <c r="J8" s="21" t="b">
        <v>0</v>
      </c>
      <c r="K8" s="22" t="b">
        <v>1</v>
      </c>
      <c r="L8" s="22" t="b">
        <v>1</v>
      </c>
      <c r="M8" s="22" t="b">
        <v>1</v>
      </c>
      <c r="N8" s="22" t="b">
        <v>1</v>
      </c>
      <c r="O8" s="22" t="b">
        <v>1</v>
      </c>
      <c r="P8" s="25" t="b">
        <v>0</v>
      </c>
      <c r="Q8" s="25" t="b">
        <v>0</v>
      </c>
      <c r="R8" s="25" t="b">
        <v>0</v>
      </c>
      <c r="S8" s="27" t="b">
        <v>0</v>
      </c>
      <c r="T8" s="27" t="b">
        <v>0</v>
      </c>
      <c r="U8" s="27" t="b">
        <v>0</v>
      </c>
      <c r="V8" s="2"/>
      <c r="W8" s="28">
        <f t="shared" si="0"/>
        <v>7</v>
      </c>
      <c r="X8" s="4"/>
      <c r="Y8" s="29">
        <f t="shared" si="1"/>
        <v>5</v>
      </c>
    </row>
    <row r="9" spans="1:25" ht="13.2" x14ac:dyDescent="0.25">
      <c r="A9" s="16" t="b">
        <v>1</v>
      </c>
      <c r="B9" s="17" t="s">
        <v>46</v>
      </c>
      <c r="C9" s="18" t="s">
        <v>47</v>
      </c>
      <c r="D9" s="30" t="b">
        <v>0</v>
      </c>
      <c r="E9" s="31" t="b">
        <v>0</v>
      </c>
      <c r="F9" s="31" t="b">
        <v>1</v>
      </c>
      <c r="G9" s="31" t="b">
        <v>0</v>
      </c>
      <c r="H9" s="21" t="b">
        <v>0</v>
      </c>
      <c r="I9" s="31" t="b">
        <v>1</v>
      </c>
      <c r="J9" s="21" t="b">
        <v>0</v>
      </c>
      <c r="K9" s="32" t="b">
        <v>0</v>
      </c>
      <c r="L9" s="22" t="b">
        <v>1</v>
      </c>
      <c r="M9" s="22" t="b">
        <v>1</v>
      </c>
      <c r="N9" s="22" t="b">
        <v>1</v>
      </c>
      <c r="O9" s="22" t="b">
        <v>1</v>
      </c>
      <c r="P9" s="25" t="b">
        <v>0</v>
      </c>
      <c r="Q9" s="24" t="b">
        <v>1</v>
      </c>
      <c r="R9" s="25" t="b">
        <v>0</v>
      </c>
      <c r="S9" s="33" t="b">
        <v>1</v>
      </c>
      <c r="T9" s="27" t="b">
        <v>0</v>
      </c>
      <c r="U9" s="27" t="b">
        <v>0</v>
      </c>
      <c r="V9" s="2"/>
      <c r="W9" s="28">
        <f t="shared" si="0"/>
        <v>8</v>
      </c>
      <c r="X9" s="4"/>
      <c r="Y9" s="29">
        <f t="shared" si="1"/>
        <v>4</v>
      </c>
    </row>
    <row r="10" spans="1:25" ht="13.2" x14ac:dyDescent="0.25">
      <c r="A10" s="16" t="b">
        <v>1</v>
      </c>
      <c r="B10" s="17" t="s">
        <v>48</v>
      </c>
      <c r="C10" s="18" t="s">
        <v>49</v>
      </c>
      <c r="D10" s="30" t="b">
        <v>0</v>
      </c>
      <c r="E10" s="31" t="b">
        <v>1</v>
      </c>
      <c r="F10" s="31" t="b">
        <v>0</v>
      </c>
      <c r="G10" s="31" t="b">
        <v>0</v>
      </c>
      <c r="H10" s="21" t="b">
        <v>0</v>
      </c>
      <c r="I10" s="31" t="b">
        <v>1</v>
      </c>
      <c r="J10" s="21" t="b">
        <v>0</v>
      </c>
      <c r="K10" s="22" t="b">
        <v>1</v>
      </c>
      <c r="L10" s="22" t="b">
        <v>1</v>
      </c>
      <c r="M10" s="22" t="b">
        <v>1</v>
      </c>
      <c r="N10" s="22" t="b">
        <v>1</v>
      </c>
      <c r="O10" s="22" t="b">
        <v>1</v>
      </c>
      <c r="P10" s="25" t="b">
        <v>0</v>
      </c>
      <c r="Q10" s="25" t="b">
        <v>0</v>
      </c>
      <c r="R10" s="24" t="b">
        <v>1</v>
      </c>
      <c r="S10" s="27" t="b">
        <v>0</v>
      </c>
      <c r="T10" s="33" t="b">
        <v>1</v>
      </c>
      <c r="U10" s="27" t="b">
        <v>0</v>
      </c>
      <c r="V10" s="2"/>
      <c r="W10" s="28">
        <f t="shared" si="0"/>
        <v>8</v>
      </c>
      <c r="X10" s="4"/>
      <c r="Y10" s="29">
        <f t="shared" si="1"/>
        <v>6</v>
      </c>
    </row>
    <row r="11" spans="1:25" ht="13.2" x14ac:dyDescent="0.25">
      <c r="A11" s="16" t="b">
        <v>1</v>
      </c>
      <c r="B11" s="17" t="s">
        <v>50</v>
      </c>
      <c r="C11" s="18" t="s">
        <v>51</v>
      </c>
      <c r="D11" s="30" t="b">
        <v>0</v>
      </c>
      <c r="E11" s="31" t="b">
        <v>1</v>
      </c>
      <c r="F11" s="31" t="b">
        <v>0</v>
      </c>
      <c r="G11" s="31" t="b">
        <v>0</v>
      </c>
      <c r="H11" s="21" t="b">
        <v>0</v>
      </c>
      <c r="I11" s="31" t="b">
        <v>1</v>
      </c>
      <c r="J11" s="21" t="b">
        <v>0</v>
      </c>
      <c r="K11" s="32" t="b">
        <v>0</v>
      </c>
      <c r="L11" s="22" t="b">
        <v>1</v>
      </c>
      <c r="M11" s="22" t="b">
        <v>1</v>
      </c>
      <c r="N11" s="22" t="b">
        <v>1</v>
      </c>
      <c r="O11" s="22" t="b">
        <v>1</v>
      </c>
      <c r="P11" s="24" t="b">
        <v>1</v>
      </c>
      <c r="Q11" s="24" t="b">
        <v>0</v>
      </c>
      <c r="R11" s="25" t="b">
        <v>0</v>
      </c>
      <c r="S11" s="27" t="b">
        <v>0</v>
      </c>
      <c r="T11" s="33" t="b">
        <v>1</v>
      </c>
      <c r="U11" s="27" t="b">
        <v>0</v>
      </c>
      <c r="V11" s="2"/>
      <c r="W11" s="28">
        <f t="shared" si="0"/>
        <v>7</v>
      </c>
      <c r="X11" s="4"/>
      <c r="Y11" s="29">
        <f t="shared" si="1"/>
        <v>4</v>
      </c>
    </row>
    <row r="12" spans="1:25" ht="13.2" x14ac:dyDescent="0.25">
      <c r="A12" s="16" t="b">
        <v>1</v>
      </c>
      <c r="B12" s="17" t="s">
        <v>52</v>
      </c>
      <c r="C12" s="18" t="s">
        <v>53</v>
      </c>
      <c r="D12" s="30" t="b">
        <v>0</v>
      </c>
      <c r="E12" s="31" t="b">
        <v>1</v>
      </c>
      <c r="F12" s="31" t="b">
        <v>0</v>
      </c>
      <c r="G12" s="31" t="b">
        <v>0</v>
      </c>
      <c r="H12" s="21" t="b">
        <v>0</v>
      </c>
      <c r="I12" s="21" t="b">
        <v>0</v>
      </c>
      <c r="J12" s="21" t="b">
        <v>0</v>
      </c>
      <c r="K12" s="22" t="b">
        <v>1</v>
      </c>
      <c r="L12" s="32" t="b">
        <v>0</v>
      </c>
      <c r="M12" s="22" t="b">
        <v>1</v>
      </c>
      <c r="N12" s="22" t="b">
        <v>1</v>
      </c>
      <c r="O12" s="22" t="b">
        <v>1</v>
      </c>
      <c r="P12" s="25" t="b">
        <v>0</v>
      </c>
      <c r="Q12" s="25" t="b">
        <v>0</v>
      </c>
      <c r="R12" s="25" t="b">
        <v>0</v>
      </c>
      <c r="S12" s="33" t="b">
        <v>1</v>
      </c>
      <c r="T12" s="27" t="b">
        <v>0</v>
      </c>
      <c r="U12" s="27" t="b">
        <v>0</v>
      </c>
      <c r="V12" s="2"/>
      <c r="W12" s="28">
        <f t="shared" si="0"/>
        <v>6</v>
      </c>
      <c r="X12" s="4"/>
      <c r="Y12" s="29">
        <f t="shared" si="1"/>
        <v>4</v>
      </c>
    </row>
    <row r="13" spans="1:25" ht="13.2" x14ac:dyDescent="0.25">
      <c r="A13" s="16" t="b">
        <v>1</v>
      </c>
      <c r="B13" s="17" t="s">
        <v>54</v>
      </c>
      <c r="C13" s="18" t="s">
        <v>55</v>
      </c>
      <c r="D13" s="30" t="b">
        <v>0</v>
      </c>
      <c r="E13" s="31" t="b">
        <v>0</v>
      </c>
      <c r="F13" s="31" t="b">
        <v>0</v>
      </c>
      <c r="G13" s="31" t="b">
        <v>0</v>
      </c>
      <c r="H13" s="21" t="b">
        <v>0</v>
      </c>
      <c r="I13" s="21" t="b">
        <v>0</v>
      </c>
      <c r="J13" s="21" t="b">
        <v>0</v>
      </c>
      <c r="K13" s="32" t="b">
        <v>0</v>
      </c>
      <c r="L13" s="32" t="b">
        <v>0</v>
      </c>
      <c r="M13" s="22" t="b">
        <v>1</v>
      </c>
      <c r="N13" s="22" t="b">
        <v>1</v>
      </c>
      <c r="O13" s="32" t="b">
        <v>0</v>
      </c>
      <c r="P13" s="25" t="b">
        <v>0</v>
      </c>
      <c r="Q13" s="25" t="b">
        <v>0</v>
      </c>
      <c r="R13" s="25" t="b">
        <v>0</v>
      </c>
      <c r="S13" s="33" t="b">
        <v>1</v>
      </c>
      <c r="T13" s="27" t="b">
        <v>0</v>
      </c>
      <c r="U13" s="27" t="b">
        <v>0</v>
      </c>
      <c r="V13" s="2"/>
      <c r="W13" s="28">
        <f t="shared" si="0"/>
        <v>3</v>
      </c>
      <c r="X13" s="4"/>
      <c r="Y13" s="29">
        <f t="shared" si="1"/>
        <v>2</v>
      </c>
    </row>
    <row r="14" spans="1:25" ht="13.2" x14ac:dyDescent="0.25">
      <c r="A14" s="16" t="b">
        <v>1</v>
      </c>
      <c r="B14" s="17" t="s">
        <v>56</v>
      </c>
      <c r="C14" s="18" t="s">
        <v>57</v>
      </c>
      <c r="D14" s="30" t="b">
        <v>0</v>
      </c>
      <c r="E14" s="31" t="b">
        <v>0</v>
      </c>
      <c r="F14" s="31" t="b">
        <v>0</v>
      </c>
      <c r="G14" s="31" t="b">
        <v>0</v>
      </c>
      <c r="H14" s="21" t="b">
        <v>0</v>
      </c>
      <c r="I14" s="31" t="b">
        <v>1</v>
      </c>
      <c r="J14" s="21" t="b">
        <v>0</v>
      </c>
      <c r="K14" s="32" t="b">
        <v>0</v>
      </c>
      <c r="L14" s="22" t="b">
        <v>1</v>
      </c>
      <c r="M14" s="32" t="b">
        <v>0</v>
      </c>
      <c r="N14" s="22" t="b">
        <v>1</v>
      </c>
      <c r="O14" s="32" t="b">
        <v>0</v>
      </c>
      <c r="P14" s="24" t="b">
        <v>1</v>
      </c>
      <c r="Q14" s="25" t="b">
        <v>0</v>
      </c>
      <c r="R14" s="25" t="b">
        <v>0</v>
      </c>
      <c r="S14" s="33" t="b">
        <v>1</v>
      </c>
      <c r="T14" s="27" t="b">
        <v>0</v>
      </c>
      <c r="U14" s="27" t="b">
        <v>0</v>
      </c>
      <c r="V14" s="2"/>
      <c r="W14" s="28">
        <f t="shared" si="0"/>
        <v>5</v>
      </c>
      <c r="X14" s="4"/>
      <c r="Y14" s="29">
        <f t="shared" si="1"/>
        <v>2</v>
      </c>
    </row>
    <row r="15" spans="1:25" ht="13.2" x14ac:dyDescent="0.25">
      <c r="A15" s="16" t="b">
        <v>1</v>
      </c>
      <c r="B15" s="17" t="s">
        <v>58</v>
      </c>
      <c r="C15" s="18" t="s">
        <v>59</v>
      </c>
      <c r="D15" s="30" t="b">
        <v>0</v>
      </c>
      <c r="E15" s="31" t="b">
        <v>1</v>
      </c>
      <c r="F15" s="31" t="b">
        <v>0</v>
      </c>
      <c r="G15" s="31" t="b">
        <v>0</v>
      </c>
      <c r="H15" s="31" t="b">
        <v>1</v>
      </c>
      <c r="I15" s="21" t="b">
        <v>0</v>
      </c>
      <c r="J15" s="21" t="b">
        <v>0</v>
      </c>
      <c r="K15" s="22" t="b">
        <v>1</v>
      </c>
      <c r="L15" s="22" t="b">
        <v>1</v>
      </c>
      <c r="M15" s="22" t="b">
        <v>1</v>
      </c>
      <c r="N15" s="22" t="b">
        <v>1</v>
      </c>
      <c r="O15" s="22" t="b">
        <v>1</v>
      </c>
      <c r="P15" s="24" t="b">
        <v>1</v>
      </c>
      <c r="Q15" s="25" t="b">
        <v>0</v>
      </c>
      <c r="R15" s="25" t="b">
        <v>0</v>
      </c>
      <c r="S15" s="27" t="b">
        <v>0</v>
      </c>
      <c r="T15" s="33" t="b">
        <v>1</v>
      </c>
      <c r="U15" s="27" t="b">
        <v>0</v>
      </c>
      <c r="V15" s="2"/>
      <c r="W15" s="28">
        <f t="shared" si="0"/>
        <v>8</v>
      </c>
      <c r="X15" s="4"/>
      <c r="Y15" s="29">
        <f t="shared" si="1"/>
        <v>5</v>
      </c>
    </row>
    <row r="16" spans="1:25" ht="13.2" x14ac:dyDescent="0.25">
      <c r="A16" s="16" t="b">
        <v>1</v>
      </c>
      <c r="B16" s="17" t="s">
        <v>60</v>
      </c>
      <c r="C16" s="18" t="s">
        <v>61</v>
      </c>
      <c r="D16" s="30" t="b">
        <v>1</v>
      </c>
      <c r="E16" s="31" t="b">
        <v>1</v>
      </c>
      <c r="F16" s="21" t="b">
        <v>0</v>
      </c>
      <c r="G16" s="21" t="b">
        <v>0</v>
      </c>
      <c r="H16" s="31" t="b">
        <v>1</v>
      </c>
      <c r="I16" s="31" t="b">
        <v>1</v>
      </c>
      <c r="J16" s="21" t="b">
        <v>0</v>
      </c>
      <c r="K16" s="22" t="b">
        <v>0</v>
      </c>
      <c r="L16" s="22" t="b">
        <v>1</v>
      </c>
      <c r="M16" s="22" t="b">
        <v>1</v>
      </c>
      <c r="N16" s="22" t="b">
        <v>1</v>
      </c>
      <c r="O16" s="22" t="b">
        <v>1</v>
      </c>
      <c r="P16" s="25" t="b">
        <v>0</v>
      </c>
      <c r="Q16" s="25" t="b">
        <v>0</v>
      </c>
      <c r="R16" s="25" t="b">
        <v>0</v>
      </c>
      <c r="S16" s="27" t="b">
        <v>0</v>
      </c>
      <c r="T16" s="27" t="b">
        <v>0</v>
      </c>
      <c r="U16" s="27" t="b">
        <v>0</v>
      </c>
      <c r="V16" s="2"/>
      <c r="W16" s="34">
        <f t="shared" si="0"/>
        <v>8</v>
      </c>
      <c r="X16" s="4"/>
      <c r="Y16" s="35">
        <f t="shared" si="1"/>
        <v>4</v>
      </c>
    </row>
    <row r="17" spans="1:25" ht="13.2" x14ac:dyDescent="0.25">
      <c r="A17" s="16" t="b">
        <v>1</v>
      </c>
      <c r="B17" s="17" t="s">
        <v>62</v>
      </c>
      <c r="C17" s="18" t="s">
        <v>63</v>
      </c>
      <c r="D17" s="30" t="b">
        <v>0</v>
      </c>
      <c r="E17" s="31" t="b">
        <v>0</v>
      </c>
      <c r="F17" s="31" t="b">
        <v>1</v>
      </c>
      <c r="G17" s="31" t="b">
        <v>0</v>
      </c>
      <c r="H17" s="21" t="b">
        <v>0</v>
      </c>
      <c r="I17" s="31" t="b">
        <v>1</v>
      </c>
      <c r="J17" s="21" t="b">
        <v>0</v>
      </c>
      <c r="K17" s="32" t="b">
        <v>0</v>
      </c>
      <c r="L17" s="22" t="b">
        <v>1</v>
      </c>
      <c r="M17" s="22" t="b">
        <v>1</v>
      </c>
      <c r="N17" s="22" t="b">
        <v>1</v>
      </c>
      <c r="O17" s="22" t="b">
        <v>1</v>
      </c>
      <c r="P17" s="25" t="b">
        <v>0</v>
      </c>
      <c r="Q17" s="25" t="b">
        <v>0</v>
      </c>
      <c r="R17" s="25" t="b">
        <v>0</v>
      </c>
      <c r="S17" s="27" t="b">
        <v>0</v>
      </c>
      <c r="T17" s="27" t="b">
        <v>0</v>
      </c>
      <c r="U17" s="27" t="b">
        <v>0</v>
      </c>
      <c r="V17" s="2"/>
      <c r="W17" s="28">
        <f t="shared" si="0"/>
        <v>6</v>
      </c>
      <c r="X17" s="4"/>
      <c r="Y17" s="29">
        <f t="shared" si="1"/>
        <v>4</v>
      </c>
    </row>
    <row r="18" spans="1:25" ht="13.2" x14ac:dyDescent="0.25">
      <c r="A18" s="16" t="b">
        <v>1</v>
      </c>
      <c r="B18" s="17" t="s">
        <v>64</v>
      </c>
      <c r="C18" s="18" t="s">
        <v>65</v>
      </c>
      <c r="D18" s="19" t="b">
        <v>0</v>
      </c>
      <c r="E18" s="20" t="b">
        <v>0</v>
      </c>
      <c r="F18" s="21" t="b">
        <v>0</v>
      </c>
      <c r="G18" s="21" t="b">
        <v>0</v>
      </c>
      <c r="H18" s="21" t="b">
        <v>0</v>
      </c>
      <c r="I18" s="20" t="b">
        <v>1</v>
      </c>
      <c r="J18" s="21" t="b">
        <v>0</v>
      </c>
      <c r="K18" s="22" t="b">
        <v>0</v>
      </c>
      <c r="L18" s="23" t="b">
        <v>1</v>
      </c>
      <c r="M18" s="23" t="b">
        <v>1</v>
      </c>
      <c r="N18" s="23" t="b">
        <v>1</v>
      </c>
      <c r="O18" s="22" t="b">
        <v>1</v>
      </c>
      <c r="P18" s="25" t="b">
        <v>0</v>
      </c>
      <c r="Q18" s="25" t="b">
        <v>0</v>
      </c>
      <c r="R18" s="24" t="b">
        <v>0</v>
      </c>
      <c r="S18" s="26" t="b">
        <v>1</v>
      </c>
      <c r="T18" s="27" t="b">
        <v>0</v>
      </c>
      <c r="U18" s="27" t="b">
        <v>0</v>
      </c>
      <c r="V18" s="2"/>
      <c r="W18" s="28">
        <f t="shared" si="0"/>
        <v>6</v>
      </c>
      <c r="X18" s="4"/>
      <c r="Y18" s="29">
        <f t="shared" si="1"/>
        <v>4</v>
      </c>
    </row>
    <row r="19" spans="1:25" ht="13.2" x14ac:dyDescent="0.25">
      <c r="A19" s="16" t="b">
        <v>1</v>
      </c>
      <c r="B19" s="17" t="s">
        <v>66</v>
      </c>
      <c r="C19" s="18" t="s">
        <v>67</v>
      </c>
      <c r="D19" s="36" t="b">
        <v>0</v>
      </c>
      <c r="E19" s="31" t="b">
        <v>1</v>
      </c>
      <c r="F19" s="21" t="b">
        <v>0</v>
      </c>
      <c r="G19" s="21" t="b">
        <v>0</v>
      </c>
      <c r="H19" s="21" t="b">
        <v>0</v>
      </c>
      <c r="I19" s="31" t="b">
        <v>0</v>
      </c>
      <c r="J19" s="21" t="b">
        <v>0</v>
      </c>
      <c r="K19" s="32" t="b">
        <v>0</v>
      </c>
      <c r="L19" s="22" t="b">
        <v>1</v>
      </c>
      <c r="M19" s="22" t="b">
        <v>1</v>
      </c>
      <c r="N19" s="22" t="b">
        <v>1</v>
      </c>
      <c r="O19" s="22" t="b">
        <v>1</v>
      </c>
      <c r="P19" s="25" t="b">
        <v>0</v>
      </c>
      <c r="Q19" s="25" t="b">
        <v>0</v>
      </c>
      <c r="R19" s="25" t="b">
        <v>0</v>
      </c>
      <c r="S19" s="27" t="b">
        <v>0</v>
      </c>
      <c r="T19" s="27" t="b">
        <v>0</v>
      </c>
      <c r="U19" s="27" t="b">
        <v>0</v>
      </c>
      <c r="V19" s="2"/>
      <c r="W19" s="28">
        <f t="shared" si="0"/>
        <v>5</v>
      </c>
      <c r="X19" s="4"/>
      <c r="Y19" s="29">
        <f t="shared" si="1"/>
        <v>4</v>
      </c>
    </row>
    <row r="20" spans="1:25" ht="13.2" x14ac:dyDescent="0.25">
      <c r="A20" s="16" t="b">
        <v>1</v>
      </c>
      <c r="B20" s="17" t="s">
        <v>68</v>
      </c>
      <c r="C20" s="18" t="s">
        <v>69</v>
      </c>
      <c r="D20" s="36" t="b">
        <v>0</v>
      </c>
      <c r="E20" s="31" t="b">
        <v>1</v>
      </c>
      <c r="F20" s="31" t="b">
        <v>1</v>
      </c>
      <c r="G20" s="21" t="b">
        <v>0</v>
      </c>
      <c r="H20" s="21" t="b">
        <v>0</v>
      </c>
      <c r="I20" s="21" t="b">
        <v>0</v>
      </c>
      <c r="J20" s="21" t="b">
        <v>0</v>
      </c>
      <c r="K20" s="32" t="b">
        <v>0</v>
      </c>
      <c r="L20" s="22" t="b">
        <v>1</v>
      </c>
      <c r="M20" s="32" t="b">
        <v>0</v>
      </c>
      <c r="N20" s="22" t="b">
        <v>1</v>
      </c>
      <c r="O20" s="22" t="b">
        <v>1</v>
      </c>
      <c r="P20" s="24" t="b">
        <v>1</v>
      </c>
      <c r="Q20" s="25" t="b">
        <v>0</v>
      </c>
      <c r="R20" s="25" t="b">
        <v>0</v>
      </c>
      <c r="S20" s="33" t="b">
        <v>1</v>
      </c>
      <c r="T20" s="27" t="b">
        <v>0</v>
      </c>
      <c r="U20" s="27" t="b">
        <v>0</v>
      </c>
      <c r="V20" s="2"/>
      <c r="W20" s="28">
        <f t="shared" si="0"/>
        <v>7</v>
      </c>
      <c r="X20" s="4"/>
      <c r="Y20" s="29">
        <f t="shared" si="1"/>
        <v>3</v>
      </c>
    </row>
    <row r="21" spans="1:25" ht="13.2" x14ac:dyDescent="0.25">
      <c r="A21" s="16" t="b">
        <v>1</v>
      </c>
      <c r="B21" s="17" t="s">
        <v>70</v>
      </c>
      <c r="C21" s="18" t="s">
        <v>71</v>
      </c>
      <c r="D21" s="36" t="b">
        <v>0</v>
      </c>
      <c r="E21" s="21" t="b">
        <v>0</v>
      </c>
      <c r="F21" s="21" t="b">
        <v>0</v>
      </c>
      <c r="G21" s="21" t="b">
        <v>0</v>
      </c>
      <c r="H21" s="21" t="b">
        <v>0</v>
      </c>
      <c r="I21" s="21" t="b">
        <v>0</v>
      </c>
      <c r="J21" s="21" t="b">
        <v>0</v>
      </c>
      <c r="K21" s="32" t="b">
        <v>0</v>
      </c>
      <c r="L21" s="22" t="b">
        <v>1</v>
      </c>
      <c r="M21" s="22" t="b">
        <v>1</v>
      </c>
      <c r="N21" s="22" t="b">
        <v>1</v>
      </c>
      <c r="O21" s="22" t="b">
        <v>1</v>
      </c>
      <c r="P21" s="24" t="b">
        <v>0</v>
      </c>
      <c r="Q21" s="24" t="b">
        <v>0</v>
      </c>
      <c r="R21" s="25" t="b">
        <v>0</v>
      </c>
      <c r="S21" s="27" t="b">
        <v>0</v>
      </c>
      <c r="T21" s="27" t="b">
        <v>0</v>
      </c>
      <c r="U21" s="27" t="b">
        <v>0</v>
      </c>
      <c r="V21" s="2"/>
      <c r="W21" s="28">
        <f t="shared" si="0"/>
        <v>4</v>
      </c>
      <c r="X21" s="4"/>
      <c r="Y21" s="29">
        <f t="shared" si="1"/>
        <v>4</v>
      </c>
    </row>
    <row r="22" spans="1:25" ht="13.2" x14ac:dyDescent="0.25">
      <c r="A22" s="16" t="b">
        <v>1</v>
      </c>
      <c r="B22" s="17" t="s">
        <v>72</v>
      </c>
      <c r="C22" s="18" t="s">
        <v>73</v>
      </c>
      <c r="D22" s="30" t="b">
        <v>1</v>
      </c>
      <c r="E22" s="31" t="b">
        <v>1</v>
      </c>
      <c r="F22" s="21" t="b">
        <v>0</v>
      </c>
      <c r="G22" s="21" t="b">
        <v>0</v>
      </c>
      <c r="H22" s="21" t="b">
        <v>0</v>
      </c>
      <c r="I22" s="21" t="b">
        <v>0</v>
      </c>
      <c r="J22" s="21" t="b">
        <v>0</v>
      </c>
      <c r="K22" s="22" t="b">
        <v>1</v>
      </c>
      <c r="L22" s="22" t="b">
        <v>1</v>
      </c>
      <c r="M22" s="22" t="b">
        <v>1</v>
      </c>
      <c r="N22" s="22" t="b">
        <v>1</v>
      </c>
      <c r="O22" s="22" t="b">
        <v>1</v>
      </c>
      <c r="P22" s="24" t="b">
        <v>1</v>
      </c>
      <c r="Q22" s="25" t="b">
        <v>0</v>
      </c>
      <c r="R22" s="25" t="b">
        <v>0</v>
      </c>
      <c r="S22" s="33" t="b">
        <v>1</v>
      </c>
      <c r="T22" s="33" t="b">
        <v>1</v>
      </c>
      <c r="U22" s="27" t="b">
        <v>0</v>
      </c>
      <c r="V22" s="2"/>
      <c r="W22" s="28">
        <f t="shared" si="0"/>
        <v>9</v>
      </c>
      <c r="X22" s="4"/>
      <c r="Y22" s="29">
        <f t="shared" si="1"/>
        <v>5</v>
      </c>
    </row>
    <row r="23" spans="1:25" ht="13.2" x14ac:dyDescent="0.25">
      <c r="A23" s="16" t="b">
        <v>1</v>
      </c>
      <c r="B23" s="17" t="s">
        <v>74</v>
      </c>
      <c r="C23" s="18" t="s">
        <v>75</v>
      </c>
      <c r="D23" s="36" t="b">
        <v>0</v>
      </c>
      <c r="E23" s="21" t="b">
        <v>0</v>
      </c>
      <c r="F23" s="21" t="b">
        <v>0</v>
      </c>
      <c r="G23" s="21" t="b">
        <v>0</v>
      </c>
      <c r="H23" s="21" t="b">
        <v>0</v>
      </c>
      <c r="I23" s="31" t="b">
        <v>1</v>
      </c>
      <c r="J23" s="21" t="b">
        <v>0</v>
      </c>
      <c r="K23" s="22" t="b">
        <v>1</v>
      </c>
      <c r="L23" s="22" t="b">
        <v>1</v>
      </c>
      <c r="M23" s="22" t="b">
        <v>1</v>
      </c>
      <c r="N23" s="22" t="b">
        <v>1</v>
      </c>
      <c r="O23" s="32" t="b">
        <v>0</v>
      </c>
      <c r="P23" s="24" t="b">
        <v>0</v>
      </c>
      <c r="Q23" s="25" t="b">
        <v>0</v>
      </c>
      <c r="R23" s="25" t="b">
        <v>0</v>
      </c>
      <c r="S23" s="27" t="b">
        <v>0</v>
      </c>
      <c r="T23" s="27" t="b">
        <v>0</v>
      </c>
      <c r="U23" s="27" t="b">
        <v>0</v>
      </c>
      <c r="V23" s="2"/>
      <c r="W23" s="28">
        <f t="shared" si="0"/>
        <v>5</v>
      </c>
      <c r="X23" s="4"/>
      <c r="Y23" s="29">
        <f t="shared" si="1"/>
        <v>4</v>
      </c>
    </row>
    <row r="24" spans="1:25" ht="13.2" x14ac:dyDescent="0.25">
      <c r="A24" s="16" t="b">
        <v>1</v>
      </c>
      <c r="B24" s="17" t="s">
        <v>76</v>
      </c>
      <c r="C24" s="18" t="s">
        <v>77</v>
      </c>
      <c r="D24" s="19" t="b">
        <v>0</v>
      </c>
      <c r="E24" s="20" t="b">
        <v>1</v>
      </c>
      <c r="F24" s="20" t="b">
        <v>1</v>
      </c>
      <c r="G24" s="31" t="b">
        <v>0</v>
      </c>
      <c r="H24" s="20" t="b">
        <v>1</v>
      </c>
      <c r="I24" s="21" t="b">
        <v>0</v>
      </c>
      <c r="J24" s="21" t="b">
        <v>0</v>
      </c>
      <c r="K24" s="22" t="b">
        <v>1</v>
      </c>
      <c r="L24" s="23" t="b">
        <v>1</v>
      </c>
      <c r="M24" s="23" t="b">
        <v>1</v>
      </c>
      <c r="N24" s="23" t="b">
        <v>1</v>
      </c>
      <c r="O24" s="23" t="b">
        <v>1</v>
      </c>
      <c r="P24" s="25" t="b">
        <v>0</v>
      </c>
      <c r="Q24" s="25" t="b">
        <v>0</v>
      </c>
      <c r="R24" s="24" t="b">
        <v>1</v>
      </c>
      <c r="S24" s="27" t="b">
        <v>0</v>
      </c>
      <c r="T24" s="27" t="b">
        <v>0</v>
      </c>
      <c r="U24" s="27" t="b">
        <v>0</v>
      </c>
      <c r="V24" s="2"/>
      <c r="W24" s="28">
        <f t="shared" si="0"/>
        <v>9</v>
      </c>
      <c r="X24" s="4"/>
      <c r="Y24" s="29">
        <f t="shared" si="1"/>
        <v>6</v>
      </c>
    </row>
    <row r="25" spans="1:25" ht="13.2" x14ac:dyDescent="0.25">
      <c r="A25" s="16" t="b">
        <v>1</v>
      </c>
      <c r="B25" s="17" t="s">
        <v>78</v>
      </c>
      <c r="C25" s="18" t="s">
        <v>79</v>
      </c>
      <c r="D25" s="36" t="b">
        <v>0</v>
      </c>
      <c r="E25" s="31" t="b">
        <v>1</v>
      </c>
      <c r="F25" s="21" t="b">
        <v>0</v>
      </c>
      <c r="G25" s="21" t="b">
        <v>0</v>
      </c>
      <c r="H25" s="21" t="b">
        <v>0</v>
      </c>
      <c r="I25" s="31" t="b">
        <v>1</v>
      </c>
      <c r="J25" s="21" t="b">
        <v>0</v>
      </c>
      <c r="K25" s="22" t="b">
        <v>1</v>
      </c>
      <c r="L25" s="22" t="b">
        <v>1</v>
      </c>
      <c r="M25" s="22" t="b">
        <v>1</v>
      </c>
      <c r="N25" s="22" t="b">
        <v>1</v>
      </c>
      <c r="O25" s="22" t="b">
        <v>1</v>
      </c>
      <c r="P25" s="25" t="b">
        <v>0</v>
      </c>
      <c r="Q25" s="25" t="b">
        <v>0</v>
      </c>
      <c r="R25" s="25" t="b">
        <v>0</v>
      </c>
      <c r="S25" s="33" t="b">
        <v>1</v>
      </c>
      <c r="T25" s="27" t="b">
        <v>0</v>
      </c>
      <c r="U25" s="27" t="b">
        <v>0</v>
      </c>
      <c r="V25" s="2"/>
      <c r="W25" s="28">
        <f t="shared" si="0"/>
        <v>8</v>
      </c>
      <c r="X25" s="4"/>
      <c r="Y25" s="29">
        <f t="shared" si="1"/>
        <v>5</v>
      </c>
    </row>
    <row r="26" spans="1:25" ht="13.2" x14ac:dyDescent="0.25">
      <c r="A26" s="16" t="b">
        <v>1</v>
      </c>
      <c r="B26" s="17" t="s">
        <v>80</v>
      </c>
      <c r="C26" s="18" t="s">
        <v>81</v>
      </c>
      <c r="D26" s="36" t="b">
        <v>0</v>
      </c>
      <c r="E26" s="31" t="b">
        <v>1</v>
      </c>
      <c r="F26" s="21" t="b">
        <v>0</v>
      </c>
      <c r="G26" s="21" t="b">
        <v>0</v>
      </c>
      <c r="H26" s="21" t="b">
        <v>0</v>
      </c>
      <c r="I26" s="31" t="b">
        <v>1</v>
      </c>
      <c r="J26" s="21" t="b">
        <v>0</v>
      </c>
      <c r="K26" s="32" t="b">
        <v>0</v>
      </c>
      <c r="L26" s="22" t="b">
        <v>1</v>
      </c>
      <c r="M26" s="22" t="b">
        <v>1</v>
      </c>
      <c r="N26" s="22" t="b">
        <v>1</v>
      </c>
      <c r="O26" s="22" t="b">
        <v>1</v>
      </c>
      <c r="P26" s="24" t="b">
        <v>0</v>
      </c>
      <c r="Q26" s="24" t="b">
        <v>0</v>
      </c>
      <c r="R26" s="25" t="b">
        <v>0</v>
      </c>
      <c r="S26" s="27" t="b">
        <v>0</v>
      </c>
      <c r="T26" s="27" t="b">
        <v>0</v>
      </c>
      <c r="U26" s="27" t="b">
        <v>0</v>
      </c>
      <c r="V26" s="2"/>
      <c r="W26" s="28">
        <f t="shared" si="0"/>
        <v>6</v>
      </c>
      <c r="X26" s="4"/>
      <c r="Y26" s="29">
        <f t="shared" si="1"/>
        <v>4</v>
      </c>
    </row>
    <row r="27" spans="1:25" ht="13.2" x14ac:dyDescent="0.25">
      <c r="A27" s="16" t="b">
        <v>1</v>
      </c>
      <c r="B27" s="17" t="s">
        <v>82</v>
      </c>
      <c r="C27" s="18" t="s">
        <v>83</v>
      </c>
      <c r="D27" s="36" t="b">
        <v>0</v>
      </c>
      <c r="E27" s="31" t="b">
        <v>1</v>
      </c>
      <c r="F27" s="31" t="b">
        <v>1</v>
      </c>
      <c r="G27" s="21" t="b">
        <v>0</v>
      </c>
      <c r="H27" s="21" t="b">
        <v>0</v>
      </c>
      <c r="I27" s="21" t="b">
        <v>0</v>
      </c>
      <c r="J27" s="21" t="b">
        <v>0</v>
      </c>
      <c r="K27" s="32" t="b">
        <v>0</v>
      </c>
      <c r="L27" s="32" t="b">
        <v>0</v>
      </c>
      <c r="M27" s="22" t="b">
        <v>1</v>
      </c>
      <c r="N27" s="22" t="b">
        <v>1</v>
      </c>
      <c r="O27" s="22" t="b">
        <v>1</v>
      </c>
      <c r="P27" s="24" t="b">
        <v>0</v>
      </c>
      <c r="Q27" s="24" t="b">
        <v>0</v>
      </c>
      <c r="R27" s="25" t="b">
        <v>0</v>
      </c>
      <c r="S27" s="33" t="b">
        <v>1</v>
      </c>
      <c r="T27" s="27" t="b">
        <v>0</v>
      </c>
      <c r="U27" s="27" t="b">
        <v>0</v>
      </c>
      <c r="V27" s="2"/>
      <c r="W27" s="28">
        <f t="shared" si="0"/>
        <v>6</v>
      </c>
      <c r="X27" s="4"/>
      <c r="Y27" s="29">
        <f t="shared" si="1"/>
        <v>3</v>
      </c>
    </row>
    <row r="28" spans="1:25" ht="13.2" x14ac:dyDescent="0.25">
      <c r="A28" s="16" t="b">
        <v>1</v>
      </c>
      <c r="B28" s="17" t="s">
        <v>84</v>
      </c>
      <c r="C28" s="18" t="s">
        <v>85</v>
      </c>
      <c r="D28" s="30" t="b">
        <v>1</v>
      </c>
      <c r="E28" s="31" t="b">
        <v>1</v>
      </c>
      <c r="F28" s="21" t="b">
        <v>0</v>
      </c>
      <c r="G28" s="21" t="b">
        <v>0</v>
      </c>
      <c r="H28" s="31" t="b">
        <v>1</v>
      </c>
      <c r="I28" s="21" t="b">
        <v>0</v>
      </c>
      <c r="J28" s="31" t="b">
        <v>1</v>
      </c>
      <c r="K28" s="32" t="b">
        <v>0</v>
      </c>
      <c r="L28" s="22" t="b">
        <v>1</v>
      </c>
      <c r="M28" s="22" t="b">
        <v>1</v>
      </c>
      <c r="N28" s="22" t="b">
        <v>1</v>
      </c>
      <c r="O28" s="22" t="b">
        <v>1</v>
      </c>
      <c r="P28" s="24" t="b">
        <v>0</v>
      </c>
      <c r="Q28" s="24" t="b">
        <v>0</v>
      </c>
      <c r="R28" s="25" t="b">
        <v>0</v>
      </c>
      <c r="S28" s="33" t="b">
        <v>1</v>
      </c>
      <c r="T28" s="33" t="b">
        <v>1</v>
      </c>
      <c r="U28" s="27" t="b">
        <v>0</v>
      </c>
      <c r="V28" s="2"/>
      <c r="W28" s="28">
        <f t="shared" si="0"/>
        <v>9</v>
      </c>
      <c r="X28" s="4"/>
      <c r="Y28" s="29">
        <f t="shared" si="1"/>
        <v>4</v>
      </c>
    </row>
    <row r="29" spans="1:25" ht="13.2" x14ac:dyDescent="0.25">
      <c r="A29" s="16" t="b">
        <v>1</v>
      </c>
      <c r="B29" s="17" t="s">
        <v>86</v>
      </c>
      <c r="C29" s="18" t="s">
        <v>87</v>
      </c>
      <c r="D29" s="36" t="b">
        <v>0</v>
      </c>
      <c r="E29" s="21" t="b">
        <v>0</v>
      </c>
      <c r="F29" s="21" t="b">
        <v>0</v>
      </c>
      <c r="G29" s="21" t="b">
        <v>0</v>
      </c>
      <c r="H29" s="21" t="b">
        <v>0</v>
      </c>
      <c r="I29" s="31" t="b">
        <v>1</v>
      </c>
      <c r="J29" s="21" t="b">
        <v>0</v>
      </c>
      <c r="K29" s="32" t="b">
        <v>0</v>
      </c>
      <c r="L29" s="22" t="b">
        <v>1</v>
      </c>
      <c r="M29" s="22" t="b">
        <v>1</v>
      </c>
      <c r="N29" s="22" t="b">
        <v>1</v>
      </c>
      <c r="O29" s="32" t="b">
        <v>0</v>
      </c>
      <c r="P29" s="24" t="b">
        <v>0</v>
      </c>
      <c r="Q29" s="24" t="b">
        <v>0</v>
      </c>
      <c r="R29" s="25" t="b">
        <v>0</v>
      </c>
      <c r="S29" s="27" t="b">
        <v>0</v>
      </c>
      <c r="T29" s="27" t="b">
        <v>0</v>
      </c>
      <c r="U29" s="27" t="b">
        <v>0</v>
      </c>
      <c r="V29" s="2"/>
      <c r="W29" s="28">
        <f t="shared" si="0"/>
        <v>4</v>
      </c>
      <c r="X29" s="4"/>
      <c r="Y29" s="29">
        <f t="shared" si="1"/>
        <v>3</v>
      </c>
    </row>
    <row r="30" spans="1:25" ht="13.2" x14ac:dyDescent="0.25">
      <c r="A30" s="37"/>
      <c r="B30" s="38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8"/>
      <c r="Y30" s="38"/>
    </row>
    <row r="31" spans="1:25" ht="13.2" x14ac:dyDescent="0.25">
      <c r="A31" s="1"/>
      <c r="B31" s="92" t="s">
        <v>88</v>
      </c>
      <c r="C31" s="93"/>
      <c r="D31" s="40">
        <f t="shared" ref="D31:U31" si="2">COUNTIF(D5:D29,TRUE)</f>
        <v>4</v>
      </c>
      <c r="E31" s="40">
        <f t="shared" si="2"/>
        <v>14</v>
      </c>
      <c r="F31" s="40">
        <f t="shared" si="2"/>
        <v>7</v>
      </c>
      <c r="G31" s="40">
        <f t="shared" si="2"/>
        <v>0</v>
      </c>
      <c r="H31" s="40">
        <f t="shared" si="2"/>
        <v>5</v>
      </c>
      <c r="I31" s="40">
        <f t="shared" si="2"/>
        <v>12</v>
      </c>
      <c r="J31" s="40">
        <f t="shared" si="2"/>
        <v>1</v>
      </c>
      <c r="K31" s="40">
        <f t="shared" si="2"/>
        <v>9</v>
      </c>
      <c r="L31" s="40">
        <f t="shared" si="2"/>
        <v>21</v>
      </c>
      <c r="M31" s="40">
        <f t="shared" si="2"/>
        <v>22</v>
      </c>
      <c r="N31" s="40">
        <f t="shared" si="2"/>
        <v>25</v>
      </c>
      <c r="O31" s="40">
        <f t="shared" si="2"/>
        <v>20</v>
      </c>
      <c r="P31" s="40">
        <f t="shared" si="2"/>
        <v>5</v>
      </c>
      <c r="Q31" s="40">
        <f t="shared" si="2"/>
        <v>1</v>
      </c>
      <c r="R31" s="40">
        <f t="shared" si="2"/>
        <v>2</v>
      </c>
      <c r="S31" s="40">
        <f t="shared" si="2"/>
        <v>11</v>
      </c>
      <c r="T31" s="40">
        <f t="shared" si="2"/>
        <v>6</v>
      </c>
      <c r="U31" s="41">
        <f t="shared" si="2"/>
        <v>0</v>
      </c>
      <c r="V31" s="42"/>
      <c r="W31" s="43"/>
      <c r="X31" s="37"/>
      <c r="Y31" s="37"/>
    </row>
    <row r="32" spans="1:25" ht="7.5" customHeight="1" x14ac:dyDescent="0.25">
      <c r="A32" s="1"/>
      <c r="B32" s="44"/>
      <c r="C32" s="44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2"/>
      <c r="W32" s="43"/>
      <c r="X32" s="37"/>
      <c r="Y32" s="37"/>
    </row>
    <row r="33" spans="1:25" ht="13.2" x14ac:dyDescent="0.25">
      <c r="A33" s="1"/>
      <c r="B33" s="94" t="s">
        <v>89</v>
      </c>
      <c r="C33" s="88"/>
      <c r="D33" s="87">
        <f>COUNTIFS(D5:D29, TRUE, E5:E29, TRUE, F5:F29, TRUE)</f>
        <v>0</v>
      </c>
      <c r="E33" s="89"/>
      <c r="F33" s="88"/>
      <c r="G33" s="87">
        <f>COUNTIFS(G5:G29,TRUE,H5:H29,TRUE)</f>
        <v>0</v>
      </c>
      <c r="H33" s="88"/>
      <c r="I33" s="87">
        <f>COUNTIFS(I5:I29,TRUE,J5:J29,TRUE)</f>
        <v>0</v>
      </c>
      <c r="J33" s="88"/>
      <c r="K33" s="46">
        <f t="shared" ref="K33:O33" si="3">COUNTIF(K5:K29,TRUE)</f>
        <v>9</v>
      </c>
      <c r="L33" s="46">
        <f t="shared" si="3"/>
        <v>21</v>
      </c>
      <c r="M33" s="46">
        <f t="shared" si="3"/>
        <v>22</v>
      </c>
      <c r="N33" s="46">
        <f t="shared" si="3"/>
        <v>25</v>
      </c>
      <c r="O33" s="46">
        <f t="shared" si="3"/>
        <v>20</v>
      </c>
      <c r="P33" s="87">
        <f>COUNTIFS(P5:P29,TRUE,Q5:Q29,TRUE)</f>
        <v>0</v>
      </c>
      <c r="Q33" s="88"/>
      <c r="R33" s="46">
        <f>COUNTIF(R5:R29,TRUE)</f>
        <v>2</v>
      </c>
      <c r="S33" s="87">
        <f>COUNTIFS(S5:S29,TRUE,T5:T29,TRUE,U5:U29,TRUE)</f>
        <v>0</v>
      </c>
      <c r="T33" s="89"/>
      <c r="U33" s="88"/>
      <c r="V33" s="42"/>
      <c r="W33" s="43"/>
      <c r="X33" s="37"/>
      <c r="Y33" s="37"/>
    </row>
  </sheetData>
  <mergeCells count="19">
    <mergeCell ref="B31:C31"/>
    <mergeCell ref="B33:C33"/>
    <mergeCell ref="D33:F33"/>
    <mergeCell ref="G33:H33"/>
    <mergeCell ref="I33:J33"/>
    <mergeCell ref="P33:Q33"/>
    <mergeCell ref="S33:U33"/>
    <mergeCell ref="D2:J2"/>
    <mergeCell ref="D3:F3"/>
    <mergeCell ref="G3:H3"/>
    <mergeCell ref="I3:J3"/>
    <mergeCell ref="S2:U2"/>
    <mergeCell ref="S3:U3"/>
    <mergeCell ref="B1:B4"/>
    <mergeCell ref="C1:C4"/>
    <mergeCell ref="D1:U1"/>
    <mergeCell ref="K2:O2"/>
    <mergeCell ref="P2:R2"/>
    <mergeCell ref="P3:Q3"/>
  </mergeCells>
  <conditionalFormatting sqref="D31:U31">
    <cfRule type="colorScale" priority="3">
      <colorScale>
        <cfvo type="min"/>
        <cfvo type="max"/>
        <color rgb="FFFFFFFF"/>
        <color rgb="FFCCCCCC"/>
      </colorScale>
    </cfRule>
  </conditionalFormatting>
  <conditionalFormatting sqref="D33:U33">
    <cfRule type="colorScale" priority="4">
      <colorScale>
        <cfvo type="min"/>
        <cfvo type="max"/>
        <color rgb="FFFFFFFF"/>
        <color rgb="FFCCCCCC"/>
      </colorScale>
    </cfRule>
  </conditionalFormatting>
  <conditionalFormatting sqref="W5:W29">
    <cfRule type="colorScale" priority="1">
      <colorScale>
        <cfvo type="min"/>
        <cfvo type="max"/>
        <color rgb="FFFFFFFF"/>
        <color rgb="FFCCCCCC"/>
      </colorScale>
    </cfRule>
  </conditionalFormatting>
  <conditionalFormatting sqref="Y5:Y29">
    <cfRule type="colorScale" priority="2">
      <colorScale>
        <cfvo type="min"/>
        <cfvo type="max"/>
        <color rgb="FFFFFFFF"/>
        <color rgb="FFCCCCCC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 x14ac:dyDescent="0.25"/>
  <cols>
    <col min="2" max="2" width="31.33203125" customWidth="1"/>
    <col min="3" max="3" width="95.6640625" customWidth="1"/>
    <col min="4" max="5" width="41.109375" customWidth="1"/>
  </cols>
  <sheetData>
    <row r="1" spans="1:5" x14ac:dyDescent="0.25">
      <c r="A1" s="47" t="s">
        <v>90</v>
      </c>
      <c r="B1" s="48" t="s">
        <v>91</v>
      </c>
      <c r="C1" s="48" t="s">
        <v>92</v>
      </c>
      <c r="D1" s="48" t="s">
        <v>93</v>
      </c>
      <c r="E1" s="47" t="s">
        <v>94</v>
      </c>
    </row>
    <row r="2" spans="1:5" x14ac:dyDescent="0.25">
      <c r="A2" s="49" t="s">
        <v>38</v>
      </c>
      <c r="B2" s="50" t="s">
        <v>39</v>
      </c>
      <c r="C2" s="51" t="s">
        <v>95</v>
      </c>
      <c r="D2" s="52" t="s">
        <v>96</v>
      </c>
      <c r="E2" s="53"/>
    </row>
    <row r="3" spans="1:5" x14ac:dyDescent="0.25">
      <c r="A3" s="49" t="s">
        <v>40</v>
      </c>
      <c r="B3" s="50" t="s">
        <v>41</v>
      </c>
      <c r="C3" s="51" t="s">
        <v>97</v>
      </c>
      <c r="D3" s="54" t="s">
        <v>98</v>
      </c>
      <c r="E3" s="55"/>
    </row>
    <row r="4" spans="1:5" x14ac:dyDescent="0.25">
      <c r="A4" s="49" t="s">
        <v>42</v>
      </c>
      <c r="B4" s="50" t="s">
        <v>43</v>
      </c>
      <c r="C4" s="51" t="s">
        <v>99</v>
      </c>
      <c r="D4" s="52" t="s">
        <v>100</v>
      </c>
      <c r="E4" s="53"/>
    </row>
    <row r="5" spans="1:5" x14ac:dyDescent="0.25">
      <c r="A5" s="49" t="s">
        <v>44</v>
      </c>
      <c r="B5" s="50" t="s">
        <v>45</v>
      </c>
      <c r="C5" s="51" t="s">
        <v>101</v>
      </c>
      <c r="D5" s="52" t="s">
        <v>102</v>
      </c>
      <c r="E5" s="53"/>
    </row>
    <row r="6" spans="1:5" x14ac:dyDescent="0.25">
      <c r="A6" s="49" t="s">
        <v>46</v>
      </c>
      <c r="B6" s="50" t="s">
        <v>47</v>
      </c>
      <c r="C6" s="51" t="s">
        <v>103</v>
      </c>
      <c r="D6" s="52" t="s">
        <v>104</v>
      </c>
      <c r="E6" s="53"/>
    </row>
    <row r="7" spans="1:5" x14ac:dyDescent="0.25">
      <c r="A7" s="49" t="s">
        <v>48</v>
      </c>
      <c r="B7" s="50" t="s">
        <v>49</v>
      </c>
      <c r="C7" s="51" t="s">
        <v>105</v>
      </c>
      <c r="D7" s="52" t="s">
        <v>106</v>
      </c>
      <c r="E7" s="53"/>
    </row>
    <row r="8" spans="1:5" x14ac:dyDescent="0.25">
      <c r="A8" s="49" t="s">
        <v>50</v>
      </c>
      <c r="B8" s="50" t="s">
        <v>51</v>
      </c>
      <c r="C8" s="51" t="s">
        <v>107</v>
      </c>
      <c r="D8" s="52" t="s">
        <v>108</v>
      </c>
      <c r="E8" s="53"/>
    </row>
    <row r="9" spans="1:5" x14ac:dyDescent="0.25">
      <c r="A9" s="49" t="s">
        <v>52</v>
      </c>
      <c r="B9" s="50" t="s">
        <v>53</v>
      </c>
      <c r="C9" s="51" t="s">
        <v>109</v>
      </c>
      <c r="D9" s="54" t="s">
        <v>110</v>
      </c>
      <c r="E9" s="55"/>
    </row>
    <row r="10" spans="1:5" x14ac:dyDescent="0.25">
      <c r="A10" s="49" t="s">
        <v>54</v>
      </c>
      <c r="B10" s="50" t="s">
        <v>55</v>
      </c>
      <c r="C10" s="51" t="s">
        <v>111</v>
      </c>
      <c r="D10" s="52" t="s">
        <v>112</v>
      </c>
      <c r="E10" s="53"/>
    </row>
    <row r="11" spans="1:5" x14ac:dyDescent="0.25">
      <c r="A11" s="49" t="s">
        <v>56</v>
      </c>
      <c r="B11" s="50" t="s">
        <v>57</v>
      </c>
      <c r="C11" s="51" t="s">
        <v>113</v>
      </c>
      <c r="D11" s="52" t="s">
        <v>114</v>
      </c>
      <c r="E11" s="53"/>
    </row>
    <row r="12" spans="1:5" x14ac:dyDescent="0.25">
      <c r="A12" s="49" t="s">
        <v>58</v>
      </c>
      <c r="B12" s="50" t="s">
        <v>59</v>
      </c>
      <c r="C12" s="51" t="s">
        <v>115</v>
      </c>
      <c r="D12" s="52" t="s">
        <v>116</v>
      </c>
      <c r="E12" s="53"/>
    </row>
    <row r="13" spans="1:5" x14ac:dyDescent="0.25">
      <c r="A13" s="56" t="s">
        <v>60</v>
      </c>
      <c r="B13" s="51" t="s">
        <v>61</v>
      </c>
      <c r="C13" s="51" t="s">
        <v>117</v>
      </c>
      <c r="D13" s="57" t="s">
        <v>118</v>
      </c>
      <c r="E13" s="53" t="s">
        <v>119</v>
      </c>
    </row>
    <row r="14" spans="1:5" x14ac:dyDescent="0.25">
      <c r="A14" s="49" t="s">
        <v>62</v>
      </c>
      <c r="B14" s="50" t="s">
        <v>63</v>
      </c>
      <c r="C14" s="51" t="s">
        <v>120</v>
      </c>
      <c r="D14" s="52" t="s">
        <v>121</v>
      </c>
      <c r="E14" s="53"/>
    </row>
    <row r="15" spans="1:5" x14ac:dyDescent="0.25">
      <c r="A15" s="49" t="s">
        <v>64</v>
      </c>
      <c r="B15" s="50" t="s">
        <v>65</v>
      </c>
      <c r="C15" s="51" t="s">
        <v>122</v>
      </c>
      <c r="D15" s="52" t="s">
        <v>123</v>
      </c>
      <c r="E15" s="53"/>
    </row>
    <row r="16" spans="1:5" x14ac:dyDescent="0.25">
      <c r="A16" s="49" t="s">
        <v>66</v>
      </c>
      <c r="B16" s="50" t="s">
        <v>67</v>
      </c>
      <c r="C16" s="51" t="s">
        <v>124</v>
      </c>
      <c r="D16" s="52" t="s">
        <v>125</v>
      </c>
      <c r="E16" s="53"/>
    </row>
    <row r="17" spans="1:5" x14ac:dyDescent="0.25">
      <c r="A17" s="49" t="s">
        <v>68</v>
      </c>
      <c r="B17" s="50" t="s">
        <v>69</v>
      </c>
      <c r="C17" s="51" t="s">
        <v>126</v>
      </c>
      <c r="D17" s="52" t="s">
        <v>127</v>
      </c>
      <c r="E17" s="53"/>
    </row>
    <row r="18" spans="1:5" x14ac:dyDescent="0.25">
      <c r="A18" s="49" t="s">
        <v>70</v>
      </c>
      <c r="B18" s="50" t="s">
        <v>71</v>
      </c>
      <c r="C18" s="58" t="s">
        <v>128</v>
      </c>
      <c r="D18" s="52" t="s">
        <v>129</v>
      </c>
      <c r="E18" s="53"/>
    </row>
    <row r="19" spans="1:5" x14ac:dyDescent="0.25">
      <c r="A19" s="49" t="s">
        <v>72</v>
      </c>
      <c r="B19" s="50" t="s">
        <v>73</v>
      </c>
      <c r="C19" s="51" t="s">
        <v>130</v>
      </c>
      <c r="D19" s="52" t="s">
        <v>131</v>
      </c>
      <c r="E19" s="53"/>
    </row>
    <row r="20" spans="1:5" x14ac:dyDescent="0.25">
      <c r="A20" s="49" t="s">
        <v>74</v>
      </c>
      <c r="B20" s="50" t="s">
        <v>75</v>
      </c>
      <c r="C20" s="51" t="s">
        <v>132</v>
      </c>
      <c r="D20" s="52" t="s">
        <v>133</v>
      </c>
      <c r="E20" s="53"/>
    </row>
    <row r="21" spans="1:5" x14ac:dyDescent="0.25">
      <c r="A21" s="49" t="s">
        <v>76</v>
      </c>
      <c r="B21" s="50" t="s">
        <v>77</v>
      </c>
      <c r="C21" s="51" t="s">
        <v>134</v>
      </c>
      <c r="D21" s="52" t="s">
        <v>135</v>
      </c>
      <c r="E21" s="53"/>
    </row>
    <row r="22" spans="1:5" x14ac:dyDescent="0.25">
      <c r="A22" s="49" t="s">
        <v>78</v>
      </c>
      <c r="B22" s="50" t="s">
        <v>79</v>
      </c>
      <c r="C22" s="51" t="s">
        <v>136</v>
      </c>
      <c r="D22" s="52" t="s">
        <v>137</v>
      </c>
      <c r="E22" s="53"/>
    </row>
    <row r="23" spans="1:5" x14ac:dyDescent="0.25">
      <c r="A23" s="49" t="s">
        <v>80</v>
      </c>
      <c r="B23" s="50" t="s">
        <v>81</v>
      </c>
      <c r="C23" s="51" t="s">
        <v>138</v>
      </c>
      <c r="D23" s="52" t="s">
        <v>139</v>
      </c>
      <c r="E23" s="53"/>
    </row>
    <row r="24" spans="1:5" x14ac:dyDescent="0.25">
      <c r="A24" s="49" t="s">
        <v>82</v>
      </c>
      <c r="B24" s="51" t="s">
        <v>140</v>
      </c>
      <c r="C24" s="51" t="s">
        <v>141</v>
      </c>
      <c r="D24" s="52" t="s">
        <v>142</v>
      </c>
      <c r="E24" s="53"/>
    </row>
    <row r="25" spans="1:5" x14ac:dyDescent="0.25">
      <c r="A25" s="56" t="s">
        <v>84</v>
      </c>
      <c r="B25" s="51" t="s">
        <v>85</v>
      </c>
      <c r="C25" s="59" t="s">
        <v>143</v>
      </c>
      <c r="D25" s="54" t="s">
        <v>144</v>
      </c>
      <c r="E25" s="55" t="s">
        <v>145</v>
      </c>
    </row>
    <row r="26" spans="1:5" x14ac:dyDescent="0.25">
      <c r="A26" s="49" t="s">
        <v>86</v>
      </c>
      <c r="B26" s="50" t="s">
        <v>87</v>
      </c>
      <c r="C26" s="51" t="s">
        <v>146</v>
      </c>
      <c r="D26" s="52" t="s">
        <v>147</v>
      </c>
      <c r="E26" s="53"/>
    </row>
  </sheetData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  <hyperlink ref="D22" r:id="rId21" xr:uid="{00000000-0004-0000-0100-000014000000}"/>
    <hyperlink ref="D23" r:id="rId22" xr:uid="{00000000-0004-0000-0100-000015000000}"/>
    <hyperlink ref="D24" r:id="rId23" xr:uid="{00000000-0004-0000-0100-000016000000}"/>
    <hyperlink ref="D25" r:id="rId24" xr:uid="{00000000-0004-0000-0100-000017000000}"/>
    <hyperlink ref="D26" r:id="rId25" xr:uid="{00000000-0004-0000-0100-00001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2"/>
  <sheetViews>
    <sheetView workbookViewId="0"/>
  </sheetViews>
  <sheetFormatPr defaultColWidth="12.6640625" defaultRowHeight="15.75" customHeight="1" x14ac:dyDescent="0.25"/>
  <cols>
    <col min="1" max="1" width="21.88671875" customWidth="1"/>
    <col min="2" max="2" width="22.44140625" customWidth="1"/>
    <col min="3" max="3" width="173.6640625" customWidth="1"/>
  </cols>
  <sheetData>
    <row r="1" spans="1:3" x14ac:dyDescent="0.25">
      <c r="A1" s="60" t="s">
        <v>148</v>
      </c>
      <c r="B1" s="60" t="s">
        <v>149</v>
      </c>
      <c r="C1" s="61" t="s">
        <v>150</v>
      </c>
    </row>
    <row r="2" spans="1:3" x14ac:dyDescent="0.25">
      <c r="A2" s="95" t="s">
        <v>151</v>
      </c>
      <c r="B2" s="62" t="s">
        <v>7</v>
      </c>
      <c r="C2" s="63" t="s">
        <v>152</v>
      </c>
    </row>
    <row r="3" spans="1:3" x14ac:dyDescent="0.25">
      <c r="A3" s="96"/>
      <c r="B3" s="62" t="s">
        <v>8</v>
      </c>
      <c r="C3" s="64" t="s">
        <v>153</v>
      </c>
    </row>
    <row r="4" spans="1:3" x14ac:dyDescent="0.25">
      <c r="A4" s="97"/>
      <c r="B4" s="62" t="s">
        <v>9</v>
      </c>
      <c r="C4" s="63" t="s">
        <v>154</v>
      </c>
    </row>
    <row r="5" spans="1:3" x14ac:dyDescent="0.25">
      <c r="A5" s="98" t="s">
        <v>155</v>
      </c>
      <c r="B5" s="65" t="s">
        <v>10</v>
      </c>
      <c r="C5" s="66" t="s">
        <v>156</v>
      </c>
    </row>
    <row r="6" spans="1:3" x14ac:dyDescent="0.25">
      <c r="A6" s="96"/>
      <c r="B6" s="65" t="s">
        <v>11</v>
      </c>
      <c r="C6" s="67" t="s">
        <v>157</v>
      </c>
    </row>
    <row r="7" spans="1:3" x14ac:dyDescent="0.25">
      <c r="A7" s="96"/>
      <c r="B7" s="65" t="s">
        <v>12</v>
      </c>
      <c r="C7" s="67" t="s">
        <v>158</v>
      </c>
    </row>
    <row r="8" spans="1:3" x14ac:dyDescent="0.25">
      <c r="A8" s="96"/>
      <c r="B8" s="65" t="s">
        <v>13</v>
      </c>
      <c r="C8" s="67" t="s">
        <v>159</v>
      </c>
    </row>
    <row r="9" spans="1:3" x14ac:dyDescent="0.25">
      <c r="A9" s="97"/>
      <c r="B9" s="65" t="s">
        <v>14</v>
      </c>
      <c r="C9" s="67" t="s">
        <v>160</v>
      </c>
    </row>
    <row r="10" spans="1:3" x14ac:dyDescent="0.25">
      <c r="A10" s="99" t="s">
        <v>161</v>
      </c>
      <c r="B10" s="68" t="s">
        <v>15</v>
      </c>
      <c r="C10" s="69" t="s">
        <v>162</v>
      </c>
    </row>
    <row r="11" spans="1:3" x14ac:dyDescent="0.25">
      <c r="A11" s="97"/>
      <c r="B11" s="68" t="s">
        <v>16</v>
      </c>
      <c r="C11" s="70" t="s">
        <v>163</v>
      </c>
    </row>
    <row r="12" spans="1:3" x14ac:dyDescent="0.25">
      <c r="A12" s="71" t="s">
        <v>164</v>
      </c>
      <c r="B12" s="71" t="s">
        <v>17</v>
      </c>
      <c r="C12" s="72" t="s">
        <v>165</v>
      </c>
    </row>
  </sheetData>
  <mergeCells count="3">
    <mergeCell ref="A2:A4"/>
    <mergeCell ref="A5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annotation</vt:lpstr>
      <vt:lpstr>tools</vt:lpstr>
      <vt:lpstr>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Joaquim Motger de la Encarnación</cp:lastModifiedBy>
  <dcterms:modified xsi:type="dcterms:W3CDTF">2026-02-23T15:41:33Z</dcterms:modified>
</cp:coreProperties>
</file>