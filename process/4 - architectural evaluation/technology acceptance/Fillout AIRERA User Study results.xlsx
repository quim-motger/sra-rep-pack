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 state="visible" name="Aux" sheetId="2" r:id="rId6"/>
    <sheet state="visible" name="Demographics" sheetId="3" r:id="rId7"/>
    <sheet state="visible" name="Perceived Ease of Use" sheetId="4" r:id="rId8"/>
    <sheet state="visible" name="Perceived Usefulness" sheetId="5" r:id="rId9"/>
    <sheet state="visible" name="Intention to Use" sheetId="6" r:id="rId10"/>
    <sheet state="visible" name="Goal Fulfillment" sheetId="7" r:id="rId11"/>
    <sheet state="visible" name="All" sheetId="8" r:id="rId12"/>
    <sheet state="visible" name="Plots" sheetId="9" r:id="rId13"/>
  </sheets>
  <definedNames/>
  <calcPr/>
  <pivotCaches>
    <pivotCache cacheId="0" r:id="rId14"/>
    <pivotCache cacheId="1" r:id="rId15"/>
    <pivotCache cacheId="2" r:id="rId16"/>
    <pivotCache cacheId="3" r:id="rId17"/>
  </pivotCaches>
</workbook>
</file>

<file path=xl/sharedStrings.xml><?xml version="1.0" encoding="utf-8"?>
<sst xmlns="http://schemas.openxmlformats.org/spreadsheetml/2006/main" count="511" uniqueCount="242">
  <si>
    <t>Submission ID</t>
  </si>
  <si>
    <t>Last updated</t>
  </si>
  <si>
    <t>Submission started</t>
  </si>
  <si>
    <t>Status</t>
  </si>
  <si>
    <t>Current step</t>
  </si>
  <si>
    <t>How would you characterize your professional background on a scale from academic to industrial?</t>
  </si>
  <si>
    <t>Have you been involved in the design of an NLP4RE tool?</t>
  </si>
  <si>
    <t>Have you been involved in the implementation of an NLP4RE tool?</t>
  </si>
  <si>
    <t>Have you participated in the AIRE’25 joint activity?</t>
  </si>
  <si>
    <t>How many of the NLP4RE tools you have been involved in the design or implementation of are still actively maintained (i.e., they receive regular updates such as bug fixes, dependency upgrades, or new features)?</t>
  </si>
  <si>
    <t>When you designed or implemented an NLP4RE tool, did you reuse any existing components of other tools (excluding libraries)?</t>
  </si>
  <si>
    <t>Learning to apply the SRA would be easy for me.</t>
  </si>
  <si>
    <t>I would find it easy to get the information I need out of the SRA.</t>
  </si>
  <si>
    <t>My interaction with the SRA would be clear and understandable.</t>
  </si>
  <si>
    <t>I would find SRA to be flexible to interact with.</t>
  </si>
  <si>
    <t>It would be easy for me to become skillful at using the SRA.</t>
  </si>
  <si>
    <t>I would find the SRA easy to use.</t>
  </si>
  <si>
    <t>Using the SRA for developing a new NLP4RE tool would enable me to accomplish tasks more quickly.</t>
  </si>
  <si>
    <t>Using the SRA would improve my performance when developing an NLP4RE tool.</t>
  </si>
  <si>
    <t>Using the SRA when developing a new NLP4RE tool would increase my productivity.</t>
  </si>
  <si>
    <t>Using the SRA would enhance my effectiveness when developing a new NLP4RE tool.</t>
  </si>
  <si>
    <t>Using the SRA would make it easier to develop a new NLP4RE tool.</t>
  </si>
  <si>
    <t>I would find the SRA useful for developing a new NLP4RE tool.</t>
  </si>
  <si>
    <t>I intend to use the SRA when developing an NLP4RE tool in the future.</t>
  </si>
  <si>
    <t>I intend to recommend colleagues, students, or others to use the SRA when developing a new NLP4RE tool.</t>
  </si>
  <si>
    <t>I intend to re-implement an existing NLP4RE tool using the SRA.</t>
  </si>
  <si>
    <t>It will cost less effort to re-use components from NLP4RE tools that adhere to the SRA than from comparable NLP4RE tools not adhering to it.</t>
  </si>
  <si>
    <t>An NLP4RE tool that adheres to the SRA is applicable to more use cases (e.g., different types of input documents) than comparable NLP4RE tools that do not adhere to it.</t>
  </si>
  <si>
    <t>An NLP4RE tool that adheres to the SRA is easier to compare with other tools that perform a similar task (e.g., requirements classification), than comparable NLP4RE tools that do not adhere to it.</t>
  </si>
  <si>
    <t>An NLP4RE tool that adheres to the SRA is easier to maintain than comparable NLP4RE tools that do not adhere to it.</t>
  </si>
  <si>
    <t>What benefits of the SRA do you perceive that have not been mentioned yet?</t>
  </si>
  <si>
    <t>What drawbacks or challenges of the SRA do you perceive that have not been mentioned yet?</t>
  </si>
  <si>
    <t>Please provide any additional feedback not covered in the previous questions.</t>
  </si>
  <si>
    <t>Errors</t>
  </si>
  <si>
    <t>Url</t>
  </si>
  <si>
    <t>Network ID</t>
  </si>
  <si>
    <t>f8662a56-31ea-4aef-915a-84f3d36fc0b7</t>
  </si>
  <si>
    <t>Fri Feb 20 2026 09:56:00 GMT+0100 (hora estándar de Europa central)</t>
  </si>
  <si>
    <t>Tue Feb 17 2026 09:30:00 GMT+0100 (hora estándar de Europa central)</t>
  </si>
  <si>
    <t>finished</t>
  </si>
  <si>
    <t>Ending</t>
  </si>
  <si>
    <t>Yes</t>
  </si>
  <si>
    <t>No</t>
  </si>
  <si>
    <t>None</t>
  </si>
  <si>
    <t>It is a common structure for other tools, and the main utility would be the possiblity of plugging and playing novel components as novel needs emerge.</t>
  </si>
  <si>
    <t>requirements is more and more intertwined with other software process phases, so having an architecture only for NLP4RE looks a bit outdated.</t>
  </si>
  <si>
    <t>I think that part of the architecture is not much different from what you have with tools such as GATE (the pipeline view, especially), so the specificity of requirements and the software world needs to be better characterised. Also, it is not clear how the architecture addresses the hairyness of requirements tasks, the way they are intertwined, and the different needs of different companies. AS A SIDE NOTE: note that a questionnaire like that suffers from systematic response bias!!!</t>
  </si>
  <si>
    <t>https://build.fillout.com/editor/jmGtx5dRm2us/results?sessionId=f8662a56-31ea-4aef-915a-84f3d36fc0b7</t>
  </si>
  <si>
    <t>1ce7247551604dfff9455f8b4dfc913b</t>
  </si>
  <si>
    <t>e002e40f-9df0-4253-8f9b-8f62f2818b1a</t>
  </si>
  <si>
    <t>Thu Feb 19 2026 08:12:00 GMT+0100 (hora estándar de Europa central)</t>
  </si>
  <si>
    <t>Thu Feb 19 2026 07:36:00 GMT+0100 (hora estándar de Europa central)</t>
  </si>
  <si>
    <t>Few</t>
  </si>
  <si>
    <t>I think the likert scale questions pretty much cover them all</t>
  </si>
  <si>
    <t>Glad that you are seeking this information, complexity of the approach and details need more time to digest and undertsnad. would recommend hosting workshops/meetings to explain the work first</t>
  </si>
  <si>
    <t>https://build.fillout.com/editor/jmGtx5dRm2us/results?sessionId=e002e40f-9df0-4253-8f9b-8f62f2818b1a</t>
  </si>
  <si>
    <t>8d222884e4bdddae480f8b5440cdde1b</t>
  </si>
  <si>
    <t>04f46aeb-4a37-4b3e-9c58-b5b261307f08</t>
  </si>
  <si>
    <t>Sun Feb 15 2026 13:03:00 GMT+0100 (hora estándar de Europa central)</t>
  </si>
  <si>
    <t>Sun Feb 15 2026 12:21:00 GMT+0100 (hora estándar de Europa central)</t>
  </si>
  <si>
    <t>I don't know</t>
  </si>
  <si>
    <t>It would be useful to have it as a starting point</t>
  </si>
  <si>
    <t>Making it useful and understandable for novices</t>
  </si>
  <si>
    <t>Page 2 in the document refers to Figure 1. I think this should be Figure 2</t>
  </si>
  <si>
    <t>https://build.fillout.com/editor/jmGtx5dRm2us/results?sessionId=04f46aeb-4a37-4b3e-9c58-b5b261307f08</t>
  </si>
  <si>
    <t>3873cefcad38f9ac6e1a42c9b06c696a</t>
  </si>
  <si>
    <t>9d8f2b70-03d6-4c72-924b-7ab2c56fb390</t>
  </si>
  <si>
    <t>Wed Feb 11 2026 13:33:00 GMT+0100 (hora estándar de Europa central)</t>
  </si>
  <si>
    <t>Wed Feb 11 2026 13:26:00 GMT+0100 (hora estándar de Europa central)</t>
  </si>
  <si>
    <t>All</t>
  </si>
  <si>
    <t>-</t>
  </si>
  <si>
    <t>Now the description is a very high level of abstraction</t>
  </si>
  <si>
    <t>https://build.fillout.com/editor/jmGtx5dRm2us/results?sessionId=9d8f2b70-03d6-4c72-924b-7ab2c56fb390</t>
  </si>
  <si>
    <t>b5afa00de171ecddd13f6e7497b4c8bd</t>
  </si>
  <si>
    <t>3c006a3576fbc0954dc2db5414f4a467</t>
  </si>
  <si>
    <t>6c478c68-910a-4f63-b412-bdfb90b9e639</t>
  </si>
  <si>
    <t>Tue Feb 10 2026 12:52:00 GMT+0100 (hora estándar de Europa central)</t>
  </si>
  <si>
    <t>Tue Feb 10 2026 09:12:00 GMT+0100 (hora estándar de Europa central)</t>
  </si>
  <si>
    <t>Tool maintenance and upgradation is expected to significantly improve if everyone in the RE community starts using SRA.</t>
  </si>
  <si>
    <t>Reimplementing existing tools using SRA would be challenging. Moreover, researchers and practitioners need some training or tutorials to fully understand how to use SRA for developing effective and efficient toolsets for RE.</t>
  </si>
  <si>
    <t>https://build.fillout.com/editor/jmGtx5dRm2us/results?sessionId=6c478c68-910a-4f63-b412-bdfb90b9e639</t>
  </si>
  <si>
    <t>63e6a88c3b97f446cab0b099e810a6d9</t>
  </si>
  <si>
    <t>15018a4a3e8496b90f5c5bb3e179f383</t>
  </si>
  <si>
    <t>8f2270dc-49b4-40d8-ad01-84ad5e604450</t>
  </si>
  <si>
    <t>Tue Feb 10 2026 09:30:00 GMT+0100 (hora estándar de Europa central)</t>
  </si>
  <si>
    <t>Tue Feb 10 2026 08:57:00 GMT+0100 (hora estándar de Europa central)</t>
  </si>
  <si>
    <t>Some of the components may be used also in other contexts - independent of whether they use NLP or not.</t>
  </si>
  <si>
    <t>The architecture is very rough. If you really want to generate benefits, then the architecture specification needs to be much more detailled. E.g. the AUTOSAR specification is many hundred pages long - without such a detailled specification, you get many tools that adhere to a similar architecture, but you cannot work together. What I understood in the mail is that the goal is to better work together, and e.g. easily extend with other processors, or switch to another logger. If this is the goal, the interfaces need to be very specific. When I think of the amount of work spent on AUTOSAR, I am not sure whether this would pay off in a NLP4RE context. It may in academic context (as business is not that relevant, instead working together might be more relevant), but for tool vendors I am not so sure.</t>
  </si>
  <si>
    <t>With the new agent technology rising, I am not sure whether a whole new concept is needed. There are now LLMs that combine formal reasoning with Natural language - and I see that most of my colleagues prefer heuristic findings, that are easy to understand, to correct findings, that are difficult to understand. ... and most of them find formal methods difficult to understand. In my eyes the architecture proposed will mainly benefit complex analysis methods, and making maintainable tools that do that - but my hope is that agents will abstract that away from the users. If we say that the agent is working in the presentation layer as explainability manager, and also does the orchestration in the service layer, this might work - but as it gets so fast to build agents, we should check first whether it would be faster and cheaper to have different agents on different architectures, than to try to harmonize architectures.
 One small point: In the data layer I would make an explicit component that stores the used models. This also has to be under configuration management.</t>
  </si>
  <si>
    <t>https://build.fillout.com/editor/jmGtx5dRm2us/results?sessionId=8f2270dc-49b4-40d8-ad01-84ad5e604450</t>
  </si>
  <si>
    <t>935e7e79f2deed22776a72a998fc22dc</t>
  </si>
  <si>
    <t>ff98f630f2d71112c15e926b4e220f02</t>
  </si>
  <si>
    <t>c190122f-b381-49e6-8cdb-7824bc46ce0a</t>
  </si>
  <si>
    <t>Mon Feb 09 2026 18:26:00 GMT+0100 (hora estándar de Europa central)</t>
  </si>
  <si>
    <t>Mon Feb 09 2026 18:01:00 GMT+0100 (hora estándar de Europa central)</t>
  </si>
  <si>
    <t>The SRA’s potential as a shared vocabulary and conceptual baseline for the NLP4RE community.</t>
  </si>
  <si>
    <t>One challenge is the abstraction gap between the reference architecture and concrete implementations. While the SRA is intentionally technology agnostic, less experienced teams may struggle to translate architectural components into concrete design and code decisions without additional guidance, examples, or reference implementations.</t>
  </si>
  <si>
    <t>The SRA is clearly motivated, well structured, and aligned with recurring problems in NLP4RE tool development. To further increase its practical adoption, future iterations could include illustrative instantiations of the architecture, mapping existing tools to AIRERA components, or providing lightweight compliance guidelines for different development contexts.</t>
  </si>
  <si>
    <t>https://build.fillout.com/editor/jmGtx5dRm2us/results?sessionId=c190122f-b381-49e6-8cdb-7824bc46ce0a</t>
  </si>
  <si>
    <t>a82daa6036e755a0f9762a323247243c</t>
  </si>
  <si>
    <t>a1699c34d1e61abae41a913867efe44a</t>
  </si>
  <si>
    <t>660a2d0f-dd7b-48d4-a25a-fd1574fd03d2</t>
  </si>
  <si>
    <t>Sat Feb 07 2026 09:43:00 GMT+0100 (hora estándar de Europa central)</t>
  </si>
  <si>
    <t>Sat Feb 07 2026 09:34:00 GMT+0100 (hora estándar de Europa central)</t>
  </si>
  <si>
    <t>I think that the comparability (and to some extent reproducibility) of what is being developed would be strengthened a lot, next to reducing the barrier for engagement in the NLP community</t>
  </si>
  <si>
    <t>I was very intrigued by the explainability component but felt that it was a bit hard to judge what impact it will exactly have. I certainly understand that it is too soon to tell, but I am very curious to see it in action some day :)</t>
  </si>
  <si>
    <t>Kudos!</t>
  </si>
  <si>
    <t>https://build.fillout.com/editor/jmGtx5dRm2us/results?sessionId=660a2d0f-dd7b-48d4-a25a-fd1574fd03d2</t>
  </si>
  <si>
    <t>b98b6eb38dda53099ced0a2521c9fe6f</t>
  </si>
  <si>
    <t>3f8cbb6a92073e62c6e336ae8d228981</t>
  </si>
  <si>
    <t>6c833749-ced3-4186-b6ad-b9e43ec3e9ad</t>
  </si>
  <si>
    <t>Fri Feb 06 2026 16:11:00 GMT+0100 (hora estándar de Europa central)</t>
  </si>
  <si>
    <t>Fri Feb 06 2026 15:16:00 GMT+0100 (hora estándar de Europa central)</t>
  </si>
  <si>
    <t>I can't think of any further benefits except those already explicitly mentioned</t>
  </si>
  <si>
    <t>- "Learnability": How well does the SRA cater tools or models that "learn" from user feedback? I am particularly thinking of applications where there is no definitive ground-truht, which are highly context-dependent, and render "universal" tools as ineffective. In other words, tools that invite human responses, e.g., about accepting / rejecting suggestions, so that the tool can iteratively learn from this feedback. I am not sure whether the SRA like this facilitates the storing of past user actions/decisions/feedback, so that tools can adapt and "learn". 
 - Language: Is language support something that you want to consider or not? Is the SRA agnostic of language choice or does it support multiple languages?</t>
  </si>
  <si>
    <t>https://build.fillout.com/editor/jmGtx5dRm2us/results?sessionId=6c833749-ced3-4186-b6ad-b9e43ec3e9ad</t>
  </si>
  <si>
    <t>a283104491d98c22e40434370fec8929</t>
  </si>
  <si>
    <t>e04062cc7745d247dd82a11ebc3eebb9</t>
  </si>
  <si>
    <t>daecc691-485c-43f9-ad11-6461785398fa</t>
  </si>
  <si>
    <t>Fri Feb 06 2026 13:57:00 GMT+0100 (hora estándar de Europa central)</t>
  </si>
  <si>
    <t>Fri Feb 06 2026 13:45:00 GMT+0100 (hora estándar de Europa central)</t>
  </si>
  <si>
    <t>Having a standard architecture that, if adopted in NLP4RE research, would make it easier to experiment with the tools. Now it takes way too much time (in replication and experimentation) to understand what "hacks" people use in their tools to get them running. I like this layered SoA SRA, which could decouple most of the components, which definitely helps with reuse and reduces complexity.</t>
  </si>
  <si>
    <t>I believe it will be a hard sell. There are several other approaches, like the spaCy piping, etc., that people fail to use. It would not surprise me if it is hard to push real use of SRA to people.</t>
  </si>
  <si>
    <t>https://build.fillout.com/editor/jmGtx5dRm2us/results?sessionId=daecc691-485c-43f9-ad11-6461785398fa</t>
  </si>
  <si>
    <t>07cbb83f2f7ec46082089843ee54d2cf</t>
  </si>
  <si>
    <t>c12807df1ad67a07aee3f9092ddf3251</t>
  </si>
  <si>
    <t>bb1cee3d-3225-4d28-b25d-0677ea62cb17</t>
  </si>
  <si>
    <t>Thu Feb 05 2026 10:51:00 GMT+0100 (hora estándar de Europa central)</t>
  </si>
  <si>
    <t>Thu Feb 05 2026 10:28:00 GMT+0100 (hora estándar de Europa central)</t>
  </si>
  <si>
    <t>I appreciate the work that has been reportedly done to review existing NLP4RE tools, and thus produce an SRA that is grounded in the existing architectures. However, this makes a pretty big assumption about the future landscape of NLP4RE tools, which are currently going through a major revolution with LLMs and similar technologies/tools. I'm not sure how applicable such a framework will be in 2-5 years with such incoming changes.</t>
  </si>
  <si>
    <t>https://build.fillout.com/editor/jmGtx5dRm2us/results?sessionId=bb1cee3d-3225-4d28-b25d-0677ea62cb17</t>
  </si>
  <si>
    <t>f869df5a154fa3ce9684435b264fcbd5</t>
  </si>
  <si>
    <t>b7f91ee0bd0712b0dd52f152ce988f66</t>
  </si>
  <si>
    <t>a75278c1-c512-412a-b9f6-3c716831b733</t>
  </si>
  <si>
    <t>Wed Feb 04 2026 11:52:00 GMT+0100 (hora estándar de Europa central)</t>
  </si>
  <si>
    <t>Wed Feb 04 2026 11:37:00 GMT+0100 (hora estándar de Europa central)</t>
  </si>
  <si>
    <t>Standardization</t>
  </si>
  <si>
    <t>Reference Implementation is missing</t>
  </si>
  <si>
    <t>see above</t>
  </si>
  <si>
    <t>https://build.fillout.com/editor/jmGtx5dRm2us/results?sessionId=a75278c1-c512-412a-b9f6-3c716831b733</t>
  </si>
  <si>
    <t>b1f87f15841c1a16248c1734275a1b0a</t>
  </si>
  <si>
    <t>39eb7965e6f03af232992599963d1dc7</t>
  </si>
  <si>
    <t>ebe015f1-a5ac-456a-9004-4c4b34f3f244</t>
  </si>
  <si>
    <t>Tue Feb 03 2026 09:37:00 GMT+0100 (hora estándar de Europa central)</t>
  </si>
  <si>
    <t>Tue Feb 03 2026 09:15:00 GMT+0100 (hora estándar de Europa central)</t>
  </si>
  <si>
    <t>I'm sorry for the negative answers. The SRA does contain very little (if any) domain-specific, that is, requirements engineering specific, components. The SRA could be applied to any text processing task, making it not useful for a requirements engineering tool developer. These generic architectures for NLP already exist (implicitly), see e.g. 
 https://dkpro.github.io/
 https://www.nltk.org/</t>
  </si>
  <si>
    <t>IMO, the architecture needs to be less generic and lower the abstraction level to requirements engineering concepts to be of use.</t>
  </si>
  <si>
    <t>https://build.fillout.com/editor/jmGtx5dRm2us/results?sessionId=ebe015f1-a5ac-456a-9004-4c4b34f3f244</t>
  </si>
  <si>
    <t>7df9f735-92fc-4971-a6a3-36a4134eb074</t>
  </si>
  <si>
    <t>Tue Feb 03 2026 02:53:00 GMT+0100 (hora estándar de Europa central)</t>
  </si>
  <si>
    <t>Tue Feb 03 2026 02:05:00 GMT+0100 (hora estándar de Europa central)</t>
  </si>
  <si>
    <t>I don't perceive any additional benefits beyond what has already been discussed.</t>
  </si>
  <si>
    <t>Beyond what has been discussed, I’d like to highlight a few critical engineering and human factors:
 - Low Entry Barrier: A mature SRA should ideally be installable with a single command. It needs a compelling running example that showcases its core strengths and features immediately.
 - Documentation &amp; Guardrails: Comprehensive API documentation is a must. More importantly, the SRA should explicitly define its 'non-goals' or anti-patterns—what it does not support or recommend. This prevents developers from wasting effort on ill-suited attempts.
 - Inherent Costs: We must acknowledge the learning curve and the higher initial setup cost compared to 'freestyle' development. Furthermore, architectural abstraction often makes debugging more challenging.</t>
  </si>
  <si>
    <t>https://build.fillout.com/editor/jmGtx5dRm2us/results?sessionId=7df9f735-92fc-4971-a6a3-36a4134eb074</t>
  </si>
  <si>
    <t>a5641a6f-1416-4e91-8b6c-71eb9b0a2159</t>
  </si>
  <si>
    <t>Mon Feb 02 2026 21:28:00 GMT+0100 (hora estándar de Europa central)</t>
  </si>
  <si>
    <t>Mon Feb 02 2026 20:56:00 GMT+0100 (hora estándar de Europa central)</t>
  </si>
  <si>
    <t>Most, like sustainability etc. have been mentioned. I don't think I can think of any other benefits.</t>
  </si>
  <si>
    <t>I think interpretation what it means exactly will only be clear over time once people have used the SRA. I think using it as the authors intended is not 100% possible.</t>
  </si>
  <si>
    <t>I think a standardisation can definitely reduce duplication of effort.
 I think the SRA needs more practical examples to be easier to understand.</t>
  </si>
  <si>
    <t>https://build.fillout.com/editor/jmGtx5dRm2us/results?sessionId=a5641a6f-1416-4e91-8b6c-71eb9b0a2159</t>
  </si>
  <si>
    <t>05f738e6-6a48-411c-8e6f-aeaa3c4b1aa5</t>
  </si>
  <si>
    <t>Mon Feb 02 2026 10:58:00 GMT+0100 (hora estándar de Europa central)</t>
  </si>
  <si>
    <t>Mon Feb 02 2026 10:51:00 GMT+0100 (hora estándar de Europa central)</t>
  </si>
  <si>
    <t>NLP tools that adhere to the SRA present more explainability than those that don't.</t>
  </si>
  <si>
    <t>Adhering to the SRA and reengineering existing tools can take time. Training may be necessary for new adopters.</t>
  </si>
  <si>
    <t>https://build.fillout.com/editor/jmGtx5dRm2us/results?sessionId=05f738e6-6a48-411c-8e6f-aeaa3c4b1aa5</t>
  </si>
  <si>
    <t>273f2f5c-31f3-4209-8278-49d43dfb8f43</t>
  </si>
  <si>
    <t>Mon Feb 02 2026 10:47:00 GMT+0100 (hora estándar de Europa central)</t>
  </si>
  <si>
    <t>Mon Feb 02 2026 10:26:00 GMT+0100 (hora estándar de Europa central)</t>
  </si>
  <si>
    <t>I believe that having an SRA for NLP4RE tools would also help the community better understand the complexity of the software we build. Research tools often involve underlying complexity that is not made explicit; however, an SRA can clearly reveal this complexity. In particular, it would allow us to assess how challenging it would be to transition a tool from a research prototype to an industrial setting, and to compare it with successful cases that have already applied the SRA.</t>
  </si>
  <si>
    <t>I believe the SRA itself would benefit from a clear, concrete example of use involving a specific set of NLP4RE tools. Although the description document explains the main components and the service view of the SRA to some extent, the overall flow between applying the SRA and conceiving the intended tool remains unclear. At this stage, adoption is likely to be challenging if the benefits are not explicitly linked to measurable outcomes. For example, demonstrating that the SRA reduces integration effort by 80-90% (or even eliminates it), or that it increases system understandability by a comparable margin, would make its value more tangible. Such results and evidence-based statements are missing, yet they are essential to properly assess the promise of the SRA for implemented software (basically answering, why should I use the SRA?).</t>
  </si>
  <si>
    <t>As mentioned previously, the proposal would benefit from a clear end-to-end example demonstrating the use of the SRA. In addition, I believe enriching the package, service, and pipeline views with an explicit goal-oriented perspective would further strengthen the SRA. This would make the intended goals of adopting the SRA; and of the underlying system itself; more explicit, thereby improving clarity, traceability, and overall understanding.</t>
  </si>
  <si>
    <t>https://build.fillout.com/editor/jmGtx5dRm2us/results?sessionId=273f2f5c-31f3-4209-8278-49d43dfb8f43</t>
  </si>
  <si>
    <t>eaad440e-5ada-4730-9f39-e1aa98d9d29d</t>
  </si>
  <si>
    <t>Wed Jan 28 2026 13:26:00 GMT+0100 (hora estándar de Europa central)</t>
  </si>
  <si>
    <t>Tue Jan 27 2026 15:53:00 GMT+0100 (hora estándar de Europa central)</t>
  </si>
  <si>
    <t>Scalability. In my opinion, the SRA makes it easy to scale out model serving (e.g., by adding more instances)</t>
  </si>
  <si>
    <t>None about the SRA itself.</t>
  </si>
  <si>
    <t>I really like this SRA, but sometimes, a monolith that just solves the problem is better than a decoupled architecture that takes more time to set up. I wonder what project scale or timeline does the overhead of the SRA become a justified investment (learning to use it, implementation of it, integration with current solutions)?</t>
  </si>
  <si>
    <t>https://build.fillout.com/editor/jmGtx5dRm2us/results?sessionId=eaad440e-5ada-4730-9f39-e1aa98d9d29d</t>
  </si>
  <si>
    <t>a9b0d8f0-ea7b-446a-9a3d-c6d784a68b9a</t>
  </si>
  <si>
    <t>Mon Jan 26 2026 18:08:00 GMT+0100 (hora estándar de Europa central)</t>
  </si>
  <si>
    <t>Mon Jan 26 2026 17:59:00 GMT+0100 (hora estándar de Europa central)</t>
  </si>
  <si>
    <t>modularity</t>
  </si>
  <si>
    <t>The interfaces among the components should be well-defined.</t>
  </si>
  <si>
    <t>https://build.fillout.com/editor/jmGtx5dRm2us/results?sessionId=a9b0d8f0-ea7b-446a-9a3d-c6d784a68b9a</t>
  </si>
  <si>
    <t>ed6311f7-3989-44e4-ad0d-a8c648f0fd95</t>
  </si>
  <si>
    <t>Mon Jan 26 2026 11:15:00 GMT+0100 (hora estándar de Europa central)</t>
  </si>
  <si>
    <t>Mon Jan 26 2026 10:14:00 GMT+0100 (hora estándar de Europa central)</t>
  </si>
  <si>
    <t>Mostly covered</t>
  </si>
  <si>
    <t>In the era of LLMs, I'm not sure whether providing a simple pipeline structure is solving the issues with reproducing and reusing components that heavily rely on LLMs.</t>
  </si>
  <si>
    <t>The SRA very much looks like similar approaches for NLP tools (e.g. GATE) or for even more specialized tasks (e.g. TraceLab). In general I'm not sure what makes it specific for RE and which properties of RE tasks require it to be specialized. I see that the collection of tools and their adherence to it is beneficial for the RE community, but this would we able with other frameworks as well.</t>
  </si>
  <si>
    <t>https://build.fillout.com/editor/jmGtx5dRm2us/results?sessionId=ed6311f7-3989-44e4-ad0d-a8c648f0fd95</t>
  </si>
  <si>
    <t>aab4b883-1788-4dec-ab86-6d44ffe60e65</t>
  </si>
  <si>
    <t>Fri Jan 23 2026 14:01:00 GMT+0100 (hora estándar de Europa central)</t>
  </si>
  <si>
    <t>Fri Jan 23 2026 13:52:00 GMT+0100 (hora estándar de Europa central)</t>
  </si>
  <si>
    <t>To provide a common platform for the research community.</t>
  </si>
  <si>
    <t>What can you reuse from other toolboxes (e.g., those from data mining or machine learning?)</t>
  </si>
  <si>
    <t>https://build.fillout.com/editor/jmGtx5dRm2us/results?sessionId=aab4b883-1788-4dec-ab86-6d44ffe60e65</t>
  </si>
  <si>
    <t>Perceived Ease of Use</t>
  </si>
  <si>
    <t>Usefulness</t>
  </si>
  <si>
    <t>Intention to Use</t>
  </si>
  <si>
    <t>Goal Fulfillment</t>
  </si>
  <si>
    <t>Demographics</t>
  </si>
  <si>
    <t>Question</t>
  </si>
  <si>
    <t>Score</t>
  </si>
  <si>
    <t>Exclusively academic</t>
  </si>
  <si>
    <t>Mostly academic</t>
  </si>
  <si>
    <t>Both academic and industry</t>
  </si>
  <si>
    <t>Mostly industry</t>
  </si>
  <si>
    <t>Exclusively industry</t>
  </si>
  <si>
    <t>Most</t>
  </si>
  <si>
    <t xml:space="preserve"> How many of the NLP4RE tools you have been involved in the design or implementation of are still actively maintained (i.e., they receive regular updates such as bug fixes, dependency upgrades, or new features)?</t>
  </si>
  <si>
    <t>COUNT of Score</t>
  </si>
  <si>
    <t>Perceived Usefulness</t>
  </si>
  <si>
    <t>Type</t>
  </si>
  <si>
    <t>Rating</t>
  </si>
  <si>
    <t>Negative</t>
  </si>
  <si>
    <t>Positive</t>
  </si>
  <si>
    <t>Neutral</t>
  </si>
  <si>
    <t>(Q1) I would find it easy to get the information I need out of the SRA.</t>
  </si>
  <si>
    <t>(Q2) I would find SRA to be flexible to interact with.</t>
  </si>
  <si>
    <t>(Q3) I would find the SRA easy to use.</t>
  </si>
  <si>
    <t>(Q4) It would be easy for me to become skillful at using the SRA.</t>
  </si>
  <si>
    <t>(Q5) Learning to apply the SRA would be easy for me.</t>
  </si>
  <si>
    <t>(Q6) My interaction with the SRA would be clear and understandable.</t>
  </si>
  <si>
    <t>(Q7) I would find the SRA useful for developing a new NLP4RE tool.</t>
  </si>
  <si>
    <t>(Q8) Using the SRA for developing a new NLP4RE tool would enable me to accomplish tasks more quickly.</t>
  </si>
  <si>
    <t>(Q9) Using the SRA when developing a new NLP4RE tool would increase my productivity.</t>
  </si>
  <si>
    <t>(Q10) Using the SRA would enhance my effectiveness when developing a new NLP4RE tool.</t>
  </si>
  <si>
    <t>(Q11) Using the SRA would improve my performance when developing an NLP4RE tool.</t>
  </si>
  <si>
    <t>(Q12) Using the SRA would make it easier to develop a new NLP4RE tool.</t>
  </si>
  <si>
    <t>(Q13) I intend to re-implement an existing NLP4RE tool using the SRA.</t>
  </si>
  <si>
    <t>(Q14) I intend to recommend colleagues, students, or others to use the SRA when developing a new NLP4RE tool.</t>
  </si>
  <si>
    <t>(Q15) I intend to use the SRA when developing an NLP4RE tool in the future.</t>
  </si>
  <si>
    <t>(Q16) An NLP4RE tool that adheres to the SRA is applicable to more use cases (e.g., different types of input documents) than comparable NLP4RE tools that do not adhere to it.</t>
  </si>
  <si>
    <t>(Q17) An NLP4RE tool that adheres to the SRA is easier to compare with other tools that perform a similar task (e.g., requirements classification), than comparable NLP4RE tools that do not adhere to it.</t>
  </si>
  <si>
    <t>(Q18) An NLP4RE tool that adheres to the SRA is easier to maintain than comparable NLP4RE tools that do not adhere to it.</t>
  </si>
  <si>
    <t>(Q19) It will cost less effort to re-use components from NLP4RE tools that adhere to the SRA than from comparable NLP4RE tools not adhering to it.</t>
  </si>
  <si>
    <t>Intention to 
Use</t>
  </si>
  <si>
    <t>Goal
Fulfillment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</si>
</sst>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000000"/>
      <name val="&quot;Aptos Narrow&quot;"/>
    </font>
    <font>
      <b/>
      <sz val="11.0"/>
      <color rgb="FF000000"/>
      <name val="Arial"/>
    </font>
    <font>
      <b/>
      <color theme="1"/>
      <name val="Arial"/>
      <scheme val="minor"/>
    </font>
    <font>
      <sz val="11.0"/>
      <color rgb="FF000000"/>
      <name val="&quot;Aptos Narrow&quot;"/>
    </font>
    <font>
      <u/>
      <sz val="11.0"/>
      <color rgb="FF000000"/>
      <name val="&quot;Aptos Narrow&quot;"/>
    </font>
    <font>
      <color theme="1"/>
      <name val="Arial"/>
      <scheme val="minor"/>
    </font>
    <font>
      <color theme="1"/>
      <name val="Arial"/>
    </font>
    <font/>
  </fonts>
  <fills count="4">
    <fill>
      <patternFill patternType="none"/>
    </fill>
    <fill>
      <patternFill patternType="lightGray"/>
    </fill>
    <fill>
      <patternFill patternType="solid">
        <fgColor rgb="FFEFEFEF"/>
        <bgColor rgb="FFEFEFEF"/>
      </patternFill>
    </fill>
    <fill>
      <patternFill patternType="solid">
        <fgColor rgb="FFFFFFFF"/>
        <bgColor rgb="FFFFFFFF"/>
      </patternFill>
    </fill>
  </fills>
  <borders count="21">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FFFFFF"/>
      </left>
      <right style="thin">
        <color rgb="FF000000"/>
      </right>
      <top style="thin">
        <color rgb="FFFFFFFF"/>
      </top>
      <bottom style="thin">
        <color rgb="FFFFFFFF"/>
      </bottom>
    </border>
    <border>
      <right style="thin">
        <color rgb="FFFFFFFF"/>
      </right>
      <top style="thin">
        <color rgb="FFFFFFFF"/>
      </top>
    </border>
    <border>
      <right style="thick">
        <color rgb="FFFFFFFF"/>
      </righ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ck">
        <color rgb="FFFFFFFF"/>
      </left>
      <right style="thick">
        <color rgb="FFFFFFFF"/>
      </right>
      <bottom style="thick">
        <color rgb="FFFFFFFF"/>
      </bottom>
    </border>
    <border>
      <left style="thin">
        <color rgb="FFFFFFFF"/>
      </left>
      <right style="thin">
        <color rgb="FF000000"/>
      </right>
      <top style="thin">
        <color rgb="FFFFFFFF"/>
      </top>
    </border>
    <border>
      <right style="thin">
        <color rgb="FFFFFFFF"/>
      </right>
      <bottom style="thin">
        <color rgb="FFFFFFFF"/>
      </bottom>
    </border>
    <border>
      <left style="thin">
        <color rgb="FFFFFFFF"/>
      </left>
      <right style="thin">
        <color rgb="FF000000"/>
      </right>
    </border>
    <border>
      <left style="thin">
        <color rgb="FFFFFFFF"/>
      </left>
      <right style="thin">
        <color rgb="FF000000"/>
      </right>
      <bottom style="thin">
        <color rgb="FFFFFFFF"/>
      </bottom>
    </border>
    <border>
      <right style="thin">
        <color rgb="FF000000"/>
      </right>
    </border>
    <border>
      <right style="thin">
        <color rgb="FFFFFFFF"/>
      </right>
      <top style="thick">
        <color rgb="FFFFFFFF"/>
      </top>
    </border>
    <border>
      <left style="thick">
        <color rgb="FFFFFFFF"/>
      </left>
      <right style="thin">
        <color rgb="FFFFFFFF"/>
      </right>
      <top style="thick">
        <color rgb="FFFFFFFF"/>
      </top>
    </border>
    <border>
      <right style="thin">
        <color rgb="FFFFFFFF"/>
      </right>
    </border>
    <border>
      <left style="thick">
        <color rgb="FFFFFFFF"/>
      </left>
      <right style="thin">
        <color rgb="FFFFFFFF"/>
      </right>
    </border>
    <border>
      <left style="thick">
        <color rgb="FFFFFFFF"/>
      </left>
      <right style="thin">
        <color rgb="FFFFFFFF"/>
      </right>
      <bottom style="thin">
        <color rgb="FFFFFFFF"/>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3" numFmtId="0" xfId="0" applyAlignment="1" applyFont="1">
      <alignment readingOrder="0"/>
    </xf>
    <xf borderId="0" fillId="0" fontId="3" numFmtId="0" xfId="0" applyFont="1"/>
    <xf borderId="0" fillId="0" fontId="4"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4" numFmtId="3" xfId="0" applyAlignment="1" applyFont="1" applyNumberFormat="1">
      <alignment readingOrder="0" shrinkToFit="0" vertical="bottom" wrapText="0"/>
    </xf>
    <xf borderId="0" fillId="0" fontId="4" numFmtId="3" xfId="0" applyAlignment="1" applyFont="1" applyNumberFormat="1">
      <alignment horizontal="right" readingOrder="0" shrinkToFit="0" vertical="bottom" wrapText="0"/>
    </xf>
    <xf borderId="0" fillId="0" fontId="5" numFmtId="0" xfId="0" applyAlignment="1" applyFont="1">
      <alignment readingOrder="0" shrinkToFit="0" vertical="bottom" wrapText="0"/>
    </xf>
    <xf borderId="0" fillId="0" fontId="6" numFmtId="0" xfId="0" applyAlignment="1" applyFont="1">
      <alignment readingOrder="0"/>
    </xf>
    <xf borderId="0" fillId="0" fontId="4" numFmtId="0" xfId="0" applyAlignment="1" applyFont="1">
      <alignment readingOrder="0" vertical="bottom"/>
    </xf>
    <xf borderId="0" fillId="0" fontId="4" numFmtId="0" xfId="0" applyAlignment="1" applyFont="1">
      <alignment shrinkToFit="0" vertical="bottom" wrapText="0"/>
    </xf>
    <xf borderId="0" fillId="0" fontId="6" numFmtId="0" xfId="0" applyFont="1"/>
    <xf borderId="0" fillId="0" fontId="6" numFmtId="3" xfId="0" applyFont="1" applyNumberFormat="1"/>
    <xf borderId="0" fillId="0" fontId="6" numFmtId="0" xfId="0" applyAlignment="1" applyFont="1">
      <alignment shrinkToFit="0" wrapText="1"/>
    </xf>
    <xf borderId="0" fillId="0" fontId="6" numFmtId="0" xfId="0" applyAlignment="1" applyFont="1">
      <alignment readingOrder="0" shrinkToFit="0" wrapText="1"/>
    </xf>
    <xf borderId="0" fillId="0" fontId="3" numFmtId="0" xfId="0" applyAlignment="1" applyFont="1">
      <alignment readingOrder="0" shrinkToFit="0" wrapText="1"/>
    </xf>
    <xf borderId="0" fillId="0" fontId="7" numFmtId="3" xfId="0" applyAlignment="1" applyFont="1" applyNumberFormat="1">
      <alignment vertical="bottom"/>
    </xf>
    <xf borderId="0" fillId="0" fontId="6" numFmtId="3" xfId="0" applyAlignment="1" applyFont="1" applyNumberFormat="1">
      <alignment readingOrder="0"/>
    </xf>
    <xf borderId="0" fillId="0" fontId="6" numFmtId="10" xfId="0" applyFont="1" applyNumberFormat="1"/>
    <xf borderId="0" fillId="2" fontId="6" numFmtId="0" xfId="0" applyAlignment="1" applyFill="1" applyFont="1">
      <alignment readingOrder="0"/>
    </xf>
    <xf borderId="0" fillId="2" fontId="6" numFmtId="0" xfId="0" applyFont="1"/>
    <xf borderId="0" fillId="2" fontId="6" numFmtId="10" xfId="0" applyFont="1" applyNumberFormat="1"/>
    <xf borderId="0" fillId="0" fontId="7" numFmtId="0" xfId="0" applyAlignment="1" applyFont="1">
      <alignment vertical="bottom"/>
    </xf>
    <xf borderId="1" fillId="3" fontId="6" numFmtId="0" xfId="0" applyBorder="1" applyFill="1" applyFont="1"/>
    <xf borderId="2" fillId="3" fontId="6" numFmtId="0" xfId="0" applyBorder="1" applyFont="1"/>
    <xf borderId="0" fillId="3" fontId="6" numFmtId="0" xfId="0" applyFont="1"/>
    <xf borderId="3" fillId="3" fontId="6" numFmtId="0" xfId="0" applyBorder="1" applyFont="1"/>
    <xf borderId="4" fillId="3" fontId="6" numFmtId="0" xfId="0" applyBorder="1" applyFont="1"/>
    <xf borderId="1" fillId="0" fontId="6" numFmtId="0" xfId="0" applyBorder="1" applyFont="1"/>
    <xf borderId="5" fillId="3" fontId="6" numFmtId="0" xfId="0" applyBorder="1" applyFont="1"/>
    <xf borderId="6" fillId="3" fontId="3" numFmtId="0" xfId="0" applyAlignment="1" applyBorder="1" applyFont="1">
      <alignment horizontal="center" readingOrder="0" textRotation="90" vertical="center"/>
    </xf>
    <xf borderId="7" fillId="0" fontId="6" numFmtId="0" xfId="0" applyBorder="1" applyFont="1"/>
    <xf borderId="7" fillId="3" fontId="6" numFmtId="0" xfId="0" applyBorder="1" applyFont="1"/>
    <xf borderId="1" fillId="0" fontId="3" numFmtId="0" xfId="0" applyAlignment="1" applyBorder="1" applyFont="1">
      <alignment horizontal="center" readingOrder="0" textRotation="90" vertical="center"/>
    </xf>
    <xf borderId="8" fillId="0" fontId="6" numFmtId="0" xfId="0" applyBorder="1" applyFont="1"/>
    <xf borderId="9" fillId="3" fontId="6" numFmtId="0" xfId="0" applyBorder="1" applyFont="1"/>
    <xf borderId="10" fillId="3" fontId="6" numFmtId="0" xfId="0" applyBorder="1" applyFont="1"/>
    <xf borderId="11" fillId="0" fontId="3" numFmtId="0" xfId="0" applyAlignment="1" applyBorder="1" applyFont="1">
      <alignment horizontal="center" readingOrder="0" textRotation="90" vertical="center"/>
    </xf>
    <xf borderId="12" fillId="0" fontId="6" numFmtId="0" xfId="0" applyBorder="1" applyFont="1"/>
    <xf borderId="12" fillId="3" fontId="6" numFmtId="0" xfId="0" applyBorder="1" applyFont="1"/>
    <xf borderId="13" fillId="0" fontId="8" numFmtId="0" xfId="0" applyBorder="1" applyFont="1"/>
    <xf borderId="4" fillId="0" fontId="6" numFmtId="0" xfId="0" applyBorder="1" applyFont="1"/>
    <xf borderId="14" fillId="0" fontId="8" numFmtId="0" xfId="0" applyBorder="1" applyFont="1"/>
    <xf borderId="11" fillId="3" fontId="3" numFmtId="0" xfId="0" applyAlignment="1" applyBorder="1" applyFont="1">
      <alignment horizontal="center" readingOrder="0" textRotation="90" vertical="center"/>
    </xf>
    <xf borderId="0" fillId="3" fontId="3" numFmtId="0" xfId="0" applyAlignment="1" applyFont="1">
      <alignment horizontal="center" readingOrder="0" textRotation="90" vertical="center"/>
    </xf>
    <xf borderId="15" fillId="3" fontId="3" numFmtId="0" xfId="0" applyAlignment="1" applyBorder="1" applyFont="1">
      <alignment horizontal="center" readingOrder="0" textRotation="90" vertical="center"/>
    </xf>
    <xf borderId="16" fillId="0" fontId="6" numFmtId="0" xfId="0" applyBorder="1" applyFont="1"/>
    <xf borderId="17" fillId="3" fontId="6" numFmtId="0" xfId="0" applyBorder="1" applyFont="1"/>
    <xf borderId="15" fillId="0" fontId="8" numFmtId="0" xfId="0" applyBorder="1" applyFont="1"/>
    <xf borderId="18" fillId="0" fontId="8" numFmtId="0" xfId="0" applyBorder="1" applyFont="1"/>
    <xf borderId="19" fillId="0" fontId="8" numFmtId="0" xfId="0" applyBorder="1" applyFont="1"/>
    <xf borderId="12" fillId="0" fontId="8" numFmtId="0" xfId="0" applyBorder="1" applyFont="1"/>
    <xf borderId="20" fillId="0" fontId="8" numFmtId="0" xfId="0" applyBorder="1" applyFont="1"/>
    <xf borderId="1" fillId="3" fontId="6"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7" Type="http://schemas.openxmlformats.org/officeDocument/2006/relationships/pivotCacheDefinition" Target="pivotCache/pivotCacheDefinition4.xml"/><Relationship Id="rId16" Type="http://schemas.openxmlformats.org/officeDocument/2006/relationships/pivotCacheDefinition" Target="pivotCache/pivotCacheDefinition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Have you been involved in the design of an NLP4RE tool?</a:t>
            </a:r>
          </a:p>
        </c:rich>
      </c:tx>
      <c:overlay val="0"/>
    </c:title>
    <c:plotArea>
      <c:layout/>
      <c:doughnutChart>
        <c:varyColors val="1"/>
        <c:ser>
          <c:idx val="0"/>
          <c:order val="0"/>
          <c:tx>
            <c:strRef>
              <c:f>Demographics!$A$5</c:f>
            </c:strRef>
          </c:tx>
          <c:dPt>
            <c:idx val="0"/>
            <c:spPr>
              <a:solidFill>
                <a:schemeClr val="accent4"/>
              </a:solidFill>
              <a:ln cmpd="sng" w="9525">
                <a:solidFill>
                  <a:srgbClr val="FFFFFF"/>
                </a:solidFill>
              </a:ln>
            </c:spPr>
          </c:dPt>
          <c:dLbls>
            <c:showLegendKey val="0"/>
            <c:showVal val="1"/>
            <c:showCatName val="0"/>
            <c:showSerName val="0"/>
            <c:showPercent val="0"/>
            <c:showBubbleSize val="0"/>
            <c:showLeaderLines val="1"/>
          </c:dLbls>
          <c:cat>
            <c:strRef>
              <c:f>Demographics!$B$4:$C$4</c:f>
            </c:strRef>
          </c:cat>
          <c:val>
            <c:numRef>
              <c:f>Demographics!$B$5:$C$5</c:f>
              <c:numCache/>
            </c:numRef>
          </c:val>
        </c:ser>
        <c:dLbls>
          <c:showLegendKey val="0"/>
          <c:showVal val="0"/>
          <c:showCatName val="0"/>
          <c:showSerName val="0"/>
          <c:showPercent val="0"/>
          <c:showBubbleSize val="0"/>
        </c:dLbls>
        <c:holeSize val="25"/>
      </c:doughnutChart>
    </c:plotArea>
    <c:legend>
      <c:legendPos val="t"/>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Have you been involved in the implementation of an NLP4RE tool?</a:t>
            </a:r>
          </a:p>
        </c:rich>
      </c:tx>
      <c:overlay val="0"/>
    </c:title>
    <c:plotArea>
      <c:layout/>
      <c:doughnutChart>
        <c:varyColors val="1"/>
        <c:ser>
          <c:idx val="0"/>
          <c:order val="0"/>
          <c:tx>
            <c:strRef>
              <c:f>Demographics!$A$8</c:f>
            </c:strRef>
          </c:tx>
          <c:dPt>
            <c:idx val="0"/>
            <c:spPr>
              <a:solidFill>
                <a:schemeClr val="accent4"/>
              </a:solidFill>
              <a:ln cmpd="sng" w="9525">
                <a:solidFill>
                  <a:srgbClr val="FFFFFF"/>
                </a:solidFill>
              </a:ln>
            </c:spPr>
          </c:dPt>
          <c:dLbls>
            <c:showLegendKey val="0"/>
            <c:showVal val="0"/>
            <c:showCatName val="0"/>
            <c:showSerName val="0"/>
            <c:showPercent val="0"/>
            <c:showBubbleSize val="0"/>
            <c:showLeaderLines val="1"/>
          </c:dLbls>
          <c:cat>
            <c:strRef>
              <c:f>Demographics!$B$7:$C$7</c:f>
            </c:strRef>
          </c:cat>
          <c:val>
            <c:numRef>
              <c:f>Demographics!$B$8:$C$8</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Have you participated in the AIRE’25 joint activity?</a:t>
            </a:r>
          </a:p>
        </c:rich>
      </c:tx>
      <c:overlay val="0"/>
    </c:title>
    <c:plotArea>
      <c:layout/>
      <c:pieChart>
        <c:varyColors val="1"/>
        <c:ser>
          <c:idx val="0"/>
          <c:order val="0"/>
          <c:tx>
            <c:strRef>
              <c:f>Demographics!$A$11</c:f>
            </c:strRef>
          </c:tx>
          <c:dPt>
            <c:idx val="0"/>
            <c:spPr>
              <a:solidFill>
                <a:schemeClr val="accent4"/>
              </a:solidFill>
              <a:ln cmpd="sng" w="9525">
                <a:solidFill>
                  <a:srgbClr val="FFFFFF"/>
                </a:solidFill>
              </a:ln>
            </c:spPr>
          </c:dPt>
          <c:dLbls>
            <c:showLegendKey val="0"/>
            <c:showVal val="0"/>
            <c:showCatName val="0"/>
            <c:showSerName val="0"/>
            <c:showPercent val="0"/>
            <c:showBubbleSize val="0"/>
            <c:showLeaderLines val="1"/>
          </c:dLbls>
          <c:cat>
            <c:strRef>
              <c:f>Demographics!$B$10:$C$10</c:f>
            </c:strRef>
          </c:cat>
          <c:val>
            <c:numRef>
              <c:f>Demographics!$B$11:$C$11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Demographics!$B$13</c:f>
            </c:strRef>
          </c:tx>
          <c:spPr>
            <a:solidFill>
              <a:schemeClr val="accent1"/>
            </a:solidFill>
            <a:ln cmpd="sng">
              <a:solidFill>
                <a:srgbClr val="000000"/>
              </a:solidFill>
            </a:ln>
          </c:spPr>
          <c:cat>
            <c:strRef>
              <c:f>Demographics!$A$14</c:f>
            </c:strRef>
          </c:cat>
          <c:val>
            <c:numRef>
              <c:f>Demographics!$B$14</c:f>
              <c:numCache/>
            </c:numRef>
          </c:val>
        </c:ser>
        <c:ser>
          <c:idx val="1"/>
          <c:order val="1"/>
          <c:tx>
            <c:strRef>
              <c:f>Demographics!$C$13</c:f>
            </c:strRef>
          </c:tx>
          <c:spPr>
            <a:solidFill>
              <a:schemeClr val="accent2"/>
            </a:solidFill>
            <a:ln cmpd="sng">
              <a:solidFill>
                <a:srgbClr val="000000"/>
              </a:solidFill>
            </a:ln>
          </c:spPr>
          <c:cat>
            <c:strRef>
              <c:f>Demographics!$A$14</c:f>
            </c:strRef>
          </c:cat>
          <c:val>
            <c:numRef>
              <c:f>Demographics!$C$14</c:f>
              <c:numCache/>
            </c:numRef>
          </c:val>
        </c:ser>
        <c:ser>
          <c:idx val="2"/>
          <c:order val="2"/>
          <c:tx>
            <c:strRef>
              <c:f>Demographics!$D$13</c:f>
            </c:strRef>
          </c:tx>
          <c:spPr>
            <a:solidFill>
              <a:schemeClr val="accent3"/>
            </a:solidFill>
            <a:ln cmpd="sng">
              <a:solidFill>
                <a:srgbClr val="000000"/>
              </a:solidFill>
            </a:ln>
          </c:spPr>
          <c:cat>
            <c:strRef>
              <c:f>Demographics!$A$14</c:f>
            </c:strRef>
          </c:cat>
          <c:val>
            <c:numRef>
              <c:f>Demographics!$D$14</c:f>
              <c:numCache/>
            </c:numRef>
          </c:val>
        </c:ser>
        <c:ser>
          <c:idx val="3"/>
          <c:order val="3"/>
          <c:tx>
            <c:strRef>
              <c:f>Demographics!$E$13</c:f>
            </c:strRef>
          </c:tx>
          <c:spPr>
            <a:solidFill>
              <a:schemeClr val="accent4"/>
            </a:solidFill>
            <a:ln cmpd="sng">
              <a:solidFill>
                <a:srgbClr val="000000"/>
              </a:solidFill>
            </a:ln>
          </c:spPr>
          <c:cat>
            <c:strRef>
              <c:f>Demographics!$A$14</c:f>
            </c:strRef>
          </c:cat>
          <c:val>
            <c:numRef>
              <c:f>Demographics!$E$14</c:f>
              <c:numCache/>
            </c:numRef>
          </c:val>
        </c:ser>
        <c:overlap val="100"/>
        <c:axId val="2021116025"/>
        <c:axId val="1259708185"/>
      </c:barChart>
      <c:catAx>
        <c:axId val="202111602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59708185"/>
      </c:catAx>
      <c:valAx>
        <c:axId val="1259708185"/>
        <c:scaling>
          <c:orientation val="minMax"/>
          <c:min val="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1116025"/>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When you designed or implemented an NLP4RE tool, did you reuse any existing components of other tools (excluding libraries)?</a:t>
            </a:r>
          </a:p>
        </c:rich>
      </c:tx>
      <c:overlay val="0"/>
    </c:title>
    <c:plotArea>
      <c:layout/>
      <c:pieChart>
        <c:varyColors val="1"/>
        <c:ser>
          <c:idx val="0"/>
          <c:order val="0"/>
          <c:tx>
            <c:strRef>
              <c:f>Demographics!$A$17</c:f>
            </c:strRef>
          </c:tx>
          <c:dPt>
            <c:idx val="0"/>
            <c:spPr>
              <a:solidFill>
                <a:schemeClr val="accent4"/>
              </a:solidFill>
              <a:ln cmpd="sng" w="9525">
                <a:solidFill>
                  <a:srgbClr val="FFFFFF"/>
                </a:solidFill>
              </a:ln>
            </c:spPr>
          </c:dPt>
          <c:dLbls>
            <c:showLegendKey val="0"/>
            <c:showVal val="0"/>
            <c:showCatName val="0"/>
            <c:showSerName val="0"/>
            <c:showPercent val="0"/>
            <c:showBubbleSize val="0"/>
            <c:showLeaderLines val="1"/>
          </c:dLbls>
          <c:cat>
            <c:strRef>
              <c:f>Demographics!$B$16:$D$16</c:f>
            </c:strRef>
          </c:cat>
          <c:val>
            <c:numRef>
              <c:f>Demographics!$B$17:$D$17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Demographics!$B$1</c:f>
            </c:strRef>
          </c:tx>
          <c:spPr>
            <a:solidFill>
              <a:schemeClr val="accent1"/>
            </a:solidFill>
            <a:ln cmpd="sng">
              <a:solidFill>
                <a:srgbClr val="000000"/>
              </a:solidFill>
            </a:ln>
          </c:spPr>
          <c:cat>
            <c:strRef>
              <c:f>Demographics!$A$2</c:f>
            </c:strRef>
          </c:cat>
          <c:val>
            <c:numRef>
              <c:f>Demographics!$B$2</c:f>
              <c:numCache/>
            </c:numRef>
          </c:val>
        </c:ser>
        <c:ser>
          <c:idx val="1"/>
          <c:order val="1"/>
          <c:tx>
            <c:strRef>
              <c:f>Demographics!$C$1</c:f>
            </c:strRef>
          </c:tx>
          <c:spPr>
            <a:solidFill>
              <a:schemeClr val="accent2"/>
            </a:solidFill>
            <a:ln cmpd="sng">
              <a:solidFill>
                <a:srgbClr val="000000"/>
              </a:solidFill>
            </a:ln>
          </c:spPr>
          <c:cat>
            <c:strRef>
              <c:f>Demographics!$A$2</c:f>
            </c:strRef>
          </c:cat>
          <c:val>
            <c:numRef>
              <c:f>Demographics!$C$2</c:f>
              <c:numCache/>
            </c:numRef>
          </c:val>
        </c:ser>
        <c:ser>
          <c:idx val="2"/>
          <c:order val="2"/>
          <c:tx>
            <c:strRef>
              <c:f>Demographics!$D$1</c:f>
            </c:strRef>
          </c:tx>
          <c:spPr>
            <a:solidFill>
              <a:schemeClr val="accent3"/>
            </a:solidFill>
            <a:ln cmpd="sng">
              <a:solidFill>
                <a:srgbClr val="000000"/>
              </a:solidFill>
            </a:ln>
          </c:spPr>
          <c:cat>
            <c:strRef>
              <c:f>Demographics!$A$2</c:f>
            </c:strRef>
          </c:cat>
          <c:val>
            <c:numRef>
              <c:f>Demographics!$D$2</c:f>
              <c:numCache/>
            </c:numRef>
          </c:val>
        </c:ser>
        <c:ser>
          <c:idx val="3"/>
          <c:order val="3"/>
          <c:tx>
            <c:strRef>
              <c:f>Demographics!$E$1</c:f>
            </c:strRef>
          </c:tx>
          <c:spPr>
            <a:solidFill>
              <a:schemeClr val="accent4"/>
            </a:solidFill>
            <a:ln cmpd="sng">
              <a:solidFill>
                <a:srgbClr val="000000"/>
              </a:solidFill>
            </a:ln>
          </c:spPr>
          <c:cat>
            <c:strRef>
              <c:f>Demographics!$A$2</c:f>
            </c:strRef>
          </c:cat>
          <c:val>
            <c:numRef>
              <c:f>Demographics!$E$2</c:f>
              <c:numCache/>
            </c:numRef>
          </c:val>
        </c:ser>
        <c:ser>
          <c:idx val="4"/>
          <c:order val="4"/>
          <c:tx>
            <c:strRef>
              <c:f>Demographics!$F$1</c:f>
            </c:strRef>
          </c:tx>
          <c:spPr>
            <a:solidFill>
              <a:schemeClr val="accent5"/>
            </a:solidFill>
            <a:ln cmpd="sng">
              <a:solidFill>
                <a:srgbClr val="000000"/>
              </a:solidFill>
            </a:ln>
          </c:spPr>
          <c:cat>
            <c:strRef>
              <c:f>Demographics!$A$2</c:f>
            </c:strRef>
          </c:cat>
          <c:val>
            <c:numRef>
              <c:f>Demographics!$F$2</c:f>
              <c:numCache/>
            </c:numRef>
          </c:val>
        </c:ser>
        <c:overlap val="100"/>
        <c:axId val="1010545604"/>
        <c:axId val="65312327"/>
      </c:barChart>
      <c:catAx>
        <c:axId val="101054560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5312327"/>
      </c:catAx>
      <c:valAx>
        <c:axId val="6531232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0545604"/>
        <c:crosses val="max"/>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6689445709946846"/>
          <c:y val="0.05000000000000001"/>
          <c:w val="0.5979764662896854"/>
          <c:h val="0.8213973799126638"/>
        </c:manualLayout>
      </c:layout>
      <c:barChart>
        <c:barDir val="bar"/>
        <c:grouping val="stacked"/>
        <c:ser>
          <c:idx val="0"/>
          <c:order val="0"/>
          <c:tx>
            <c:v>Very unlikely</c:v>
          </c:tx>
          <c:spPr>
            <a:solidFill>
              <a:srgbClr val="CC0000"/>
            </a:solidFill>
            <a:ln cmpd="sng">
              <a:solidFill>
                <a:srgbClr val="000000"/>
              </a:solidFill>
            </a:ln>
          </c:spPr>
          <c:cat>
            <c:strRef>
              <c:f>'Perceived Ease of Use'!$A$3:$A$8</c:f>
            </c:strRef>
          </c:cat>
          <c:val>
            <c:numRef>
              <c:f>'Perceived Ease of Use'!$B$3:$B$8</c:f>
              <c:numCache/>
            </c:numRef>
          </c:val>
        </c:ser>
        <c:ser>
          <c:idx val="1"/>
          <c:order val="1"/>
          <c:tx>
            <c:v>Unlikely</c:v>
          </c:tx>
          <c:spPr>
            <a:solidFill>
              <a:srgbClr val="E06666"/>
            </a:solidFill>
            <a:ln cmpd="sng">
              <a:solidFill>
                <a:srgbClr val="000000"/>
              </a:solidFill>
            </a:ln>
          </c:spPr>
          <c:cat>
            <c:strRef>
              <c:f>'Perceived Ease of Use'!$A$3:$A$8</c:f>
            </c:strRef>
          </c:cat>
          <c:val>
            <c:numRef>
              <c:f>'Perceived Ease of Use'!$C$3:$C$8</c:f>
              <c:numCache/>
            </c:numRef>
          </c:val>
        </c:ser>
        <c:ser>
          <c:idx val="2"/>
          <c:order val="2"/>
          <c:tx>
            <c:v>Somewhat unlikely</c:v>
          </c:tx>
          <c:spPr>
            <a:solidFill>
              <a:srgbClr val="EA9999"/>
            </a:solidFill>
            <a:ln cmpd="sng">
              <a:solidFill>
                <a:srgbClr val="000000"/>
              </a:solidFill>
            </a:ln>
          </c:spPr>
          <c:cat>
            <c:strRef>
              <c:f>'Perceived Ease of Use'!$A$3:$A$8</c:f>
            </c:strRef>
          </c:cat>
          <c:val>
            <c:numRef>
              <c:f>'Perceived Ease of Use'!$D$3:$D$8</c:f>
              <c:numCache/>
            </c:numRef>
          </c:val>
        </c:ser>
        <c:ser>
          <c:idx val="3"/>
          <c:order val="3"/>
          <c:tx>
            <c:v>Neither likely nor unlikely</c:v>
          </c:tx>
          <c:spPr>
            <a:solidFill>
              <a:srgbClr val="EFEFEF"/>
            </a:solidFill>
            <a:ln cmpd="sng">
              <a:solidFill>
                <a:srgbClr val="000000"/>
              </a:solidFill>
            </a:ln>
          </c:spPr>
          <c:cat>
            <c:strRef>
              <c:f>'Perceived Ease of Use'!$A$3:$A$8</c:f>
            </c:strRef>
          </c:cat>
          <c:val>
            <c:numRef>
              <c:f>'Perceived Ease of Use'!$E$3:$E$8</c:f>
              <c:numCache/>
            </c:numRef>
          </c:val>
        </c:ser>
        <c:ser>
          <c:idx val="4"/>
          <c:order val="4"/>
          <c:tx>
            <c:v>Somewhat likely</c:v>
          </c:tx>
          <c:spPr>
            <a:solidFill>
              <a:srgbClr val="B6D7A8"/>
            </a:solidFill>
            <a:ln cmpd="sng">
              <a:solidFill>
                <a:srgbClr val="000000"/>
              </a:solidFill>
            </a:ln>
          </c:spPr>
          <c:cat>
            <c:strRef>
              <c:f>'Perceived Ease of Use'!$A$3:$A$8</c:f>
            </c:strRef>
          </c:cat>
          <c:val>
            <c:numRef>
              <c:f>'Perceived Ease of Use'!$F$3:$F$8</c:f>
              <c:numCache/>
            </c:numRef>
          </c:val>
        </c:ser>
        <c:ser>
          <c:idx val="5"/>
          <c:order val="5"/>
          <c:tx>
            <c:v>Likely</c:v>
          </c:tx>
          <c:spPr>
            <a:solidFill>
              <a:srgbClr val="93C47D"/>
            </a:solidFill>
            <a:ln cmpd="sng">
              <a:solidFill>
                <a:srgbClr val="000000"/>
              </a:solidFill>
            </a:ln>
          </c:spPr>
          <c:cat>
            <c:strRef>
              <c:f>'Perceived Ease of Use'!$A$3:$A$8</c:f>
            </c:strRef>
          </c:cat>
          <c:val>
            <c:numRef>
              <c:f>'Perceived Ease of Use'!$G$3:$G$8</c:f>
              <c:numCache/>
            </c:numRef>
          </c:val>
        </c:ser>
        <c:ser>
          <c:idx val="6"/>
          <c:order val="6"/>
          <c:tx>
            <c:v>Very likely</c:v>
          </c:tx>
          <c:spPr>
            <a:solidFill>
              <a:srgbClr val="6AA84F"/>
            </a:solidFill>
            <a:ln cmpd="sng">
              <a:solidFill>
                <a:srgbClr val="000000"/>
              </a:solidFill>
            </a:ln>
          </c:spPr>
          <c:cat>
            <c:strRef>
              <c:f>'Perceived Ease of Use'!$A$3:$A$8</c:f>
            </c:strRef>
          </c:cat>
          <c:val>
            <c:numRef>
              <c:f>'Perceived Ease of Use'!$H$3:$H$8</c:f>
              <c:numCache/>
            </c:numRef>
          </c:val>
        </c:ser>
        <c:overlap val="100"/>
        <c:axId val="847096296"/>
        <c:axId val="654563195"/>
      </c:barChart>
      <c:catAx>
        <c:axId val="84709629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54563195"/>
      </c:catAx>
      <c:valAx>
        <c:axId val="654563195"/>
        <c:scaling>
          <c:orientation val="minMax"/>
          <c:min val="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47096296"/>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v>Very unlikely</c:v>
          </c:tx>
          <c:spPr>
            <a:solidFill>
              <a:srgbClr val="CC0000"/>
            </a:solidFill>
            <a:ln cmpd="sng">
              <a:solidFill>
                <a:srgbClr val="000000"/>
              </a:solidFill>
            </a:ln>
          </c:spPr>
          <c:cat>
            <c:strRef>
              <c:f>'Perceived Usefulness'!$A$3:$A$8</c:f>
            </c:strRef>
          </c:cat>
          <c:val>
            <c:numRef>
              <c:f>'Perceived Usefulness'!$B$3:$B$8</c:f>
              <c:numCache/>
            </c:numRef>
          </c:val>
        </c:ser>
        <c:ser>
          <c:idx val="1"/>
          <c:order val="1"/>
          <c:tx>
            <c:v>Unlikely</c:v>
          </c:tx>
          <c:spPr>
            <a:solidFill>
              <a:srgbClr val="E06666"/>
            </a:solidFill>
            <a:ln cmpd="sng">
              <a:solidFill>
                <a:srgbClr val="000000"/>
              </a:solidFill>
            </a:ln>
          </c:spPr>
          <c:cat>
            <c:strRef>
              <c:f>'Perceived Usefulness'!$A$3:$A$8</c:f>
            </c:strRef>
          </c:cat>
          <c:val>
            <c:numRef>
              <c:f>'Perceived Usefulness'!$C$3:$C$8</c:f>
              <c:numCache/>
            </c:numRef>
          </c:val>
        </c:ser>
        <c:ser>
          <c:idx val="2"/>
          <c:order val="2"/>
          <c:tx>
            <c:v>Somewhat unlikely</c:v>
          </c:tx>
          <c:spPr>
            <a:solidFill>
              <a:srgbClr val="EA9999"/>
            </a:solidFill>
            <a:ln cmpd="sng">
              <a:solidFill>
                <a:srgbClr val="000000"/>
              </a:solidFill>
            </a:ln>
          </c:spPr>
          <c:cat>
            <c:strRef>
              <c:f>'Perceived Usefulness'!$A$3:$A$8</c:f>
            </c:strRef>
          </c:cat>
          <c:val>
            <c:numRef>
              <c:f>'Perceived Usefulness'!$D$3:$D$8</c:f>
              <c:numCache/>
            </c:numRef>
          </c:val>
        </c:ser>
        <c:ser>
          <c:idx val="3"/>
          <c:order val="3"/>
          <c:tx>
            <c:v>Neither likely nor unlikely</c:v>
          </c:tx>
          <c:spPr>
            <a:solidFill>
              <a:srgbClr val="EFEFEF"/>
            </a:solidFill>
            <a:ln cmpd="sng">
              <a:solidFill>
                <a:srgbClr val="000000"/>
              </a:solidFill>
            </a:ln>
          </c:spPr>
          <c:cat>
            <c:strRef>
              <c:f>'Perceived Usefulness'!$A$3:$A$8</c:f>
            </c:strRef>
          </c:cat>
          <c:val>
            <c:numRef>
              <c:f>'Perceived Usefulness'!$E$3:$E$8</c:f>
              <c:numCache/>
            </c:numRef>
          </c:val>
        </c:ser>
        <c:ser>
          <c:idx val="4"/>
          <c:order val="4"/>
          <c:tx>
            <c:v>Somewhat likely</c:v>
          </c:tx>
          <c:spPr>
            <a:solidFill>
              <a:srgbClr val="B6D7A8"/>
            </a:solidFill>
            <a:ln cmpd="sng">
              <a:solidFill>
                <a:srgbClr val="000000"/>
              </a:solidFill>
            </a:ln>
          </c:spPr>
          <c:cat>
            <c:strRef>
              <c:f>'Perceived Usefulness'!$A$3:$A$8</c:f>
            </c:strRef>
          </c:cat>
          <c:val>
            <c:numRef>
              <c:f>'Perceived Usefulness'!$F$3:$F$8</c:f>
              <c:numCache/>
            </c:numRef>
          </c:val>
        </c:ser>
        <c:ser>
          <c:idx val="5"/>
          <c:order val="5"/>
          <c:tx>
            <c:v>Likely</c:v>
          </c:tx>
          <c:spPr>
            <a:solidFill>
              <a:srgbClr val="93C47D"/>
            </a:solidFill>
            <a:ln cmpd="sng">
              <a:solidFill>
                <a:srgbClr val="000000"/>
              </a:solidFill>
            </a:ln>
          </c:spPr>
          <c:cat>
            <c:strRef>
              <c:f>'Perceived Usefulness'!$A$3:$A$8</c:f>
            </c:strRef>
          </c:cat>
          <c:val>
            <c:numRef>
              <c:f>'Perceived Usefulness'!$G$3:$G$8</c:f>
              <c:numCache/>
            </c:numRef>
          </c:val>
        </c:ser>
        <c:ser>
          <c:idx val="6"/>
          <c:order val="6"/>
          <c:tx>
            <c:v>Very likely</c:v>
          </c:tx>
          <c:spPr>
            <a:solidFill>
              <a:srgbClr val="38761D"/>
            </a:solidFill>
            <a:ln cmpd="sng">
              <a:solidFill>
                <a:srgbClr val="000000"/>
              </a:solidFill>
            </a:ln>
          </c:spPr>
          <c:cat>
            <c:strRef>
              <c:f>'Perceived Usefulness'!$A$3:$A$8</c:f>
            </c:strRef>
          </c:cat>
          <c:val>
            <c:numRef>
              <c:f>'Perceived Usefulness'!$H$3:$H$8</c:f>
              <c:numCache/>
            </c:numRef>
          </c:val>
        </c:ser>
        <c:overlap val="100"/>
        <c:axId val="1736334832"/>
        <c:axId val="1618384217"/>
      </c:barChart>
      <c:catAx>
        <c:axId val="173633483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18384217"/>
      </c:catAx>
      <c:valAx>
        <c:axId val="1618384217"/>
        <c:scaling>
          <c:orientation val="minMax"/>
          <c:min val="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6334832"/>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v>Very unlikely</c:v>
          </c:tx>
          <c:spPr>
            <a:solidFill>
              <a:srgbClr val="CC0000"/>
            </a:solidFill>
            <a:ln cmpd="sng">
              <a:solidFill>
                <a:srgbClr val="000000"/>
              </a:solidFill>
            </a:ln>
          </c:spPr>
          <c:cat>
            <c:strRef>
              <c:f>'Intention to Use'!$A$3:$A$5</c:f>
            </c:strRef>
          </c:cat>
          <c:val>
            <c:numRef>
              <c:f>'Intention to Use'!$B$3:$B$5</c:f>
              <c:numCache/>
            </c:numRef>
          </c:val>
        </c:ser>
        <c:ser>
          <c:idx val="1"/>
          <c:order val="1"/>
          <c:tx>
            <c:v>Unlikely</c:v>
          </c:tx>
          <c:spPr>
            <a:solidFill>
              <a:srgbClr val="E06666"/>
            </a:solidFill>
            <a:ln cmpd="sng">
              <a:solidFill>
                <a:srgbClr val="000000"/>
              </a:solidFill>
            </a:ln>
          </c:spPr>
          <c:cat>
            <c:strRef>
              <c:f>'Intention to Use'!$A$3:$A$5</c:f>
            </c:strRef>
          </c:cat>
          <c:val>
            <c:numRef>
              <c:f>'Intention to Use'!$C$3:$C$5</c:f>
              <c:numCache/>
            </c:numRef>
          </c:val>
        </c:ser>
        <c:ser>
          <c:idx val="2"/>
          <c:order val="2"/>
          <c:tx>
            <c:v>Somewhat unlikely</c:v>
          </c:tx>
          <c:spPr>
            <a:solidFill>
              <a:srgbClr val="F4CCCC"/>
            </a:solidFill>
            <a:ln cmpd="sng">
              <a:solidFill>
                <a:srgbClr val="000000"/>
              </a:solidFill>
            </a:ln>
          </c:spPr>
          <c:cat>
            <c:strRef>
              <c:f>'Intention to Use'!$A$3:$A$5</c:f>
            </c:strRef>
          </c:cat>
          <c:val>
            <c:numRef>
              <c:f>'Intention to Use'!$D$3:$D$5</c:f>
              <c:numCache/>
            </c:numRef>
          </c:val>
        </c:ser>
        <c:ser>
          <c:idx val="3"/>
          <c:order val="3"/>
          <c:tx>
            <c:v>Neither likely nor unlikely</c:v>
          </c:tx>
          <c:spPr>
            <a:solidFill>
              <a:srgbClr val="EFEFEF"/>
            </a:solidFill>
            <a:ln cmpd="sng">
              <a:solidFill>
                <a:srgbClr val="000000"/>
              </a:solidFill>
            </a:ln>
          </c:spPr>
          <c:cat>
            <c:strRef>
              <c:f>'Intention to Use'!$A$3:$A$5</c:f>
            </c:strRef>
          </c:cat>
          <c:val>
            <c:numRef>
              <c:f>'Intention to Use'!$E$3:$E$5</c:f>
              <c:numCache/>
            </c:numRef>
          </c:val>
        </c:ser>
        <c:ser>
          <c:idx val="4"/>
          <c:order val="4"/>
          <c:tx>
            <c:v>Somewhat likely</c:v>
          </c:tx>
          <c:spPr>
            <a:solidFill>
              <a:srgbClr val="B6D7A8"/>
            </a:solidFill>
            <a:ln cmpd="sng">
              <a:solidFill>
                <a:srgbClr val="000000"/>
              </a:solidFill>
            </a:ln>
          </c:spPr>
          <c:cat>
            <c:strRef>
              <c:f>'Intention to Use'!$A$3:$A$5</c:f>
            </c:strRef>
          </c:cat>
          <c:val>
            <c:numRef>
              <c:f>'Intention to Use'!$F$3:$F$5</c:f>
              <c:numCache/>
            </c:numRef>
          </c:val>
        </c:ser>
        <c:ser>
          <c:idx val="5"/>
          <c:order val="5"/>
          <c:tx>
            <c:v>Likely</c:v>
          </c:tx>
          <c:spPr>
            <a:solidFill>
              <a:srgbClr val="93C47D"/>
            </a:solidFill>
            <a:ln cmpd="sng">
              <a:solidFill>
                <a:srgbClr val="000000"/>
              </a:solidFill>
            </a:ln>
          </c:spPr>
          <c:cat>
            <c:strRef>
              <c:f>'Intention to Use'!$A$3:$A$5</c:f>
            </c:strRef>
          </c:cat>
          <c:val>
            <c:numRef>
              <c:f>'Intention to Use'!$G$3:$G$5</c:f>
              <c:numCache/>
            </c:numRef>
          </c:val>
        </c:ser>
        <c:ser>
          <c:idx val="6"/>
          <c:order val="6"/>
          <c:tx>
            <c:v>Very likely</c:v>
          </c:tx>
          <c:spPr>
            <a:solidFill>
              <a:srgbClr val="6AA84F"/>
            </a:solidFill>
            <a:ln cmpd="sng">
              <a:solidFill>
                <a:srgbClr val="000000"/>
              </a:solidFill>
            </a:ln>
          </c:spPr>
          <c:cat>
            <c:strRef>
              <c:f>'Intention to Use'!$A$3:$A$5</c:f>
            </c:strRef>
          </c:cat>
          <c:val>
            <c:numRef>
              <c:f>'Intention to Use'!$H$3:$H$5</c:f>
              <c:numCache/>
            </c:numRef>
          </c:val>
        </c:ser>
        <c:overlap val="100"/>
        <c:axId val="1856407920"/>
        <c:axId val="1919196015"/>
      </c:barChart>
      <c:catAx>
        <c:axId val="185640792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19196015"/>
      </c:catAx>
      <c:valAx>
        <c:axId val="1919196015"/>
        <c:scaling>
          <c:orientation val="minMax"/>
          <c:min val="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6407920"/>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v>Very unlikely</c:v>
          </c:tx>
          <c:spPr>
            <a:solidFill>
              <a:srgbClr val="CC0000"/>
            </a:solidFill>
            <a:ln cmpd="sng">
              <a:solidFill>
                <a:srgbClr val="000000"/>
              </a:solidFill>
            </a:ln>
          </c:spPr>
          <c:cat>
            <c:strRef>
              <c:f>'Goal Fulfillment'!$A$3:$A$6</c:f>
            </c:strRef>
          </c:cat>
          <c:val>
            <c:numRef>
              <c:f>'Goal Fulfillment'!$B$3:$B$6</c:f>
              <c:numCache/>
            </c:numRef>
          </c:val>
        </c:ser>
        <c:ser>
          <c:idx val="1"/>
          <c:order val="1"/>
          <c:tx>
            <c:v>Unlikely</c:v>
          </c:tx>
          <c:spPr>
            <a:solidFill>
              <a:srgbClr val="E06666"/>
            </a:solidFill>
            <a:ln cmpd="sng">
              <a:solidFill>
                <a:srgbClr val="000000"/>
              </a:solidFill>
            </a:ln>
          </c:spPr>
          <c:cat>
            <c:strRef>
              <c:f>'Goal Fulfillment'!$A$3:$A$6</c:f>
            </c:strRef>
          </c:cat>
          <c:val>
            <c:numRef>
              <c:f>'Goal Fulfillment'!$C$3:$C$6</c:f>
              <c:numCache/>
            </c:numRef>
          </c:val>
        </c:ser>
        <c:ser>
          <c:idx val="2"/>
          <c:order val="2"/>
          <c:tx>
            <c:v>Somewhat unlikely</c:v>
          </c:tx>
          <c:spPr>
            <a:solidFill>
              <a:srgbClr val="EA9999"/>
            </a:solidFill>
            <a:ln cmpd="sng">
              <a:solidFill>
                <a:srgbClr val="000000"/>
              </a:solidFill>
            </a:ln>
          </c:spPr>
          <c:cat>
            <c:strRef>
              <c:f>'Goal Fulfillment'!$A$3:$A$6</c:f>
            </c:strRef>
          </c:cat>
          <c:val>
            <c:numRef>
              <c:f>'Goal Fulfillment'!$D$3:$D$6</c:f>
              <c:numCache/>
            </c:numRef>
          </c:val>
        </c:ser>
        <c:ser>
          <c:idx val="3"/>
          <c:order val="3"/>
          <c:tx>
            <c:v>Neither likely nor unlikely</c:v>
          </c:tx>
          <c:spPr>
            <a:solidFill>
              <a:srgbClr val="EFEFEF"/>
            </a:solidFill>
            <a:ln cmpd="sng">
              <a:solidFill>
                <a:srgbClr val="000000"/>
              </a:solidFill>
            </a:ln>
          </c:spPr>
          <c:cat>
            <c:strRef>
              <c:f>'Goal Fulfillment'!$A$3:$A$6</c:f>
            </c:strRef>
          </c:cat>
          <c:val>
            <c:numRef>
              <c:f>'Goal Fulfillment'!$E$3:$E$6</c:f>
              <c:numCache/>
            </c:numRef>
          </c:val>
        </c:ser>
        <c:ser>
          <c:idx val="4"/>
          <c:order val="4"/>
          <c:tx>
            <c:v>Somewhat likely</c:v>
          </c:tx>
          <c:spPr>
            <a:solidFill>
              <a:srgbClr val="B6D7A8"/>
            </a:solidFill>
            <a:ln cmpd="sng">
              <a:solidFill>
                <a:srgbClr val="000000"/>
              </a:solidFill>
            </a:ln>
          </c:spPr>
          <c:cat>
            <c:strRef>
              <c:f>'Goal Fulfillment'!$A$3:$A$6</c:f>
            </c:strRef>
          </c:cat>
          <c:val>
            <c:numRef>
              <c:f>'Goal Fulfillment'!$F$3:$F$6</c:f>
              <c:numCache/>
            </c:numRef>
          </c:val>
        </c:ser>
        <c:ser>
          <c:idx val="5"/>
          <c:order val="5"/>
          <c:tx>
            <c:v>Likely</c:v>
          </c:tx>
          <c:spPr>
            <a:solidFill>
              <a:srgbClr val="93C47D"/>
            </a:solidFill>
            <a:ln cmpd="sng">
              <a:solidFill>
                <a:srgbClr val="000000"/>
              </a:solidFill>
            </a:ln>
          </c:spPr>
          <c:cat>
            <c:strRef>
              <c:f>'Goal Fulfillment'!$A$3:$A$6</c:f>
            </c:strRef>
          </c:cat>
          <c:val>
            <c:numRef>
              <c:f>'Goal Fulfillment'!$G$3:$G$6</c:f>
              <c:numCache/>
            </c:numRef>
          </c:val>
        </c:ser>
        <c:ser>
          <c:idx val="6"/>
          <c:order val="6"/>
          <c:tx>
            <c:v>Very likely</c:v>
          </c:tx>
          <c:spPr>
            <a:solidFill>
              <a:srgbClr val="6AA84F"/>
            </a:solidFill>
            <a:ln cmpd="sng">
              <a:solidFill>
                <a:srgbClr val="000000"/>
              </a:solidFill>
            </a:ln>
          </c:spPr>
          <c:cat>
            <c:strRef>
              <c:f>'Goal Fulfillment'!$A$3:$A$6</c:f>
            </c:strRef>
          </c:cat>
          <c:val>
            <c:numRef>
              <c:f>'Goal Fulfillment'!$H$3:$H$6</c:f>
              <c:numCache/>
            </c:numRef>
          </c:val>
        </c:ser>
        <c:overlap val="100"/>
        <c:axId val="588156411"/>
        <c:axId val="918545291"/>
      </c:barChart>
      <c:catAx>
        <c:axId val="58815641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18545291"/>
      </c:catAx>
      <c:valAx>
        <c:axId val="91854529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8156411"/>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531523642732047"/>
          <c:y val="0.050039292730844905"/>
          <c:w val="0.5230637645319419"/>
          <c:h val="0.9075140847105051"/>
        </c:manualLayout>
      </c:layout>
      <c:barChart>
        <c:barDir val="bar"/>
        <c:grouping val="stacked"/>
        <c:ser>
          <c:idx val="0"/>
          <c:order val="0"/>
          <c:tx>
            <c:v>Very unlikely</c:v>
          </c:tx>
          <c:spPr>
            <a:solidFill>
              <a:srgbClr val="CC0000"/>
            </a:solidFill>
            <a:ln cmpd="sng">
              <a:solidFill>
                <a:srgbClr val="000000"/>
              </a:solidFill>
            </a:ln>
          </c:spPr>
          <c:cat>
            <c:strRef>
              <c:f>All!$J$2:$J$20</c:f>
            </c:strRef>
          </c:cat>
          <c:val>
            <c:numRef>
              <c:f>All!$K$2:$K$20</c:f>
              <c:numCache/>
            </c:numRef>
          </c:val>
        </c:ser>
        <c:ser>
          <c:idx val="1"/>
          <c:order val="1"/>
          <c:tx>
            <c:v>Unlikely</c:v>
          </c:tx>
          <c:spPr>
            <a:solidFill>
              <a:srgbClr val="E06666"/>
            </a:solidFill>
            <a:ln cmpd="sng">
              <a:solidFill>
                <a:srgbClr val="000000"/>
              </a:solidFill>
            </a:ln>
          </c:spPr>
          <c:cat>
            <c:strRef>
              <c:f>All!$J$2:$J$20</c:f>
            </c:strRef>
          </c:cat>
          <c:val>
            <c:numRef>
              <c:f>All!$L$2:$L$20</c:f>
              <c:numCache/>
            </c:numRef>
          </c:val>
        </c:ser>
        <c:ser>
          <c:idx val="2"/>
          <c:order val="2"/>
          <c:tx>
            <c:v>Somewhat unlikely</c:v>
          </c:tx>
          <c:spPr>
            <a:solidFill>
              <a:srgbClr val="EA9999"/>
            </a:solidFill>
            <a:ln cmpd="sng">
              <a:solidFill>
                <a:srgbClr val="000000"/>
              </a:solidFill>
            </a:ln>
          </c:spPr>
          <c:cat>
            <c:strRef>
              <c:f>All!$J$2:$J$20</c:f>
            </c:strRef>
          </c:cat>
          <c:val>
            <c:numRef>
              <c:f>All!$M$2:$M$20</c:f>
              <c:numCache/>
            </c:numRef>
          </c:val>
        </c:ser>
        <c:ser>
          <c:idx val="3"/>
          <c:order val="3"/>
          <c:tx>
            <c:v>Neither likely nor unlikely</c:v>
          </c:tx>
          <c:spPr>
            <a:solidFill>
              <a:srgbClr val="EFEFEF"/>
            </a:solidFill>
            <a:ln cmpd="sng">
              <a:solidFill>
                <a:srgbClr val="000000"/>
              </a:solidFill>
            </a:ln>
          </c:spPr>
          <c:cat>
            <c:strRef>
              <c:f>All!$J$2:$J$20</c:f>
            </c:strRef>
          </c:cat>
          <c:val>
            <c:numRef>
              <c:f>All!$N$2:$N$20</c:f>
              <c:numCache/>
            </c:numRef>
          </c:val>
        </c:ser>
        <c:ser>
          <c:idx val="4"/>
          <c:order val="4"/>
          <c:tx>
            <c:v>Somewhat likely</c:v>
          </c:tx>
          <c:spPr>
            <a:solidFill>
              <a:srgbClr val="B6D7A8"/>
            </a:solidFill>
            <a:ln cmpd="sng">
              <a:solidFill>
                <a:srgbClr val="000000"/>
              </a:solidFill>
            </a:ln>
          </c:spPr>
          <c:cat>
            <c:strRef>
              <c:f>All!$J$2:$J$20</c:f>
            </c:strRef>
          </c:cat>
          <c:val>
            <c:numRef>
              <c:f>All!$O$2:$O$20</c:f>
              <c:numCache/>
            </c:numRef>
          </c:val>
        </c:ser>
        <c:ser>
          <c:idx val="5"/>
          <c:order val="5"/>
          <c:tx>
            <c:v>Likely</c:v>
          </c:tx>
          <c:spPr>
            <a:solidFill>
              <a:srgbClr val="93C47D"/>
            </a:solidFill>
            <a:ln cmpd="sng">
              <a:solidFill>
                <a:srgbClr val="000000"/>
              </a:solidFill>
            </a:ln>
          </c:spPr>
          <c:cat>
            <c:strRef>
              <c:f>All!$J$2:$J$20</c:f>
            </c:strRef>
          </c:cat>
          <c:val>
            <c:numRef>
              <c:f>All!$P$2:$P$20</c:f>
              <c:numCache/>
            </c:numRef>
          </c:val>
        </c:ser>
        <c:ser>
          <c:idx val="6"/>
          <c:order val="6"/>
          <c:tx>
            <c:v>Very likely</c:v>
          </c:tx>
          <c:spPr>
            <a:solidFill>
              <a:srgbClr val="6AA84F"/>
            </a:solidFill>
            <a:ln cmpd="sng">
              <a:solidFill>
                <a:srgbClr val="000000"/>
              </a:solidFill>
            </a:ln>
          </c:spPr>
          <c:dPt>
            <c:idx val="14"/>
          </c:dPt>
          <c:cat>
            <c:strRef>
              <c:f>All!$J$2:$J$20</c:f>
            </c:strRef>
          </c:cat>
          <c:val>
            <c:numRef>
              <c:f>All!$Q$2:$Q$20</c:f>
              <c:numCache/>
            </c:numRef>
          </c:val>
        </c:ser>
        <c:overlap val="100"/>
        <c:axId val="477586432"/>
        <c:axId val="1016840331"/>
      </c:barChart>
      <c:catAx>
        <c:axId val="47758643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16840331"/>
      </c:catAx>
      <c:valAx>
        <c:axId val="1016840331"/>
        <c:scaling>
          <c:orientation val="minMax"/>
          <c:min val="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7586432"/>
        <c:crosses val="max"/>
      </c:valAx>
    </c:plotArea>
    <c:legend>
      <c:legendPos val="t"/>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142875</xdr:colOff>
      <xdr:row>7</xdr:row>
      <xdr:rowOff>57150</xdr:rowOff>
    </xdr:from>
    <xdr:ext cx="3724275" cy="32861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685800</xdr:colOff>
      <xdr:row>7</xdr:row>
      <xdr:rowOff>57150</xdr:rowOff>
    </xdr:from>
    <xdr:ext cx="3581400" cy="32861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695325</xdr:colOff>
      <xdr:row>17</xdr:row>
      <xdr:rowOff>57150</xdr:rowOff>
    </xdr:from>
    <xdr:ext cx="3724275" cy="29432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695325</xdr:colOff>
      <xdr:row>32</xdr:row>
      <xdr:rowOff>85725</xdr:rowOff>
    </xdr:from>
    <xdr:ext cx="10677525" cy="11715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685800</xdr:colOff>
      <xdr:row>17</xdr:row>
      <xdr:rowOff>57150</xdr:rowOff>
    </xdr:from>
    <xdr:ext cx="6229350" cy="294322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xdr:col>
      <xdr:colOff>838200</xdr:colOff>
      <xdr:row>0</xdr:row>
      <xdr:rowOff>57150</xdr:rowOff>
    </xdr:from>
    <xdr:ext cx="8991600" cy="171450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933450</xdr:colOff>
      <xdr:row>9</xdr:row>
      <xdr:rowOff>95250</xdr:rowOff>
    </xdr:from>
    <xdr:ext cx="12544425" cy="218122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866775</xdr:colOff>
      <xdr:row>9</xdr:row>
      <xdr:rowOff>38100</xdr:rowOff>
    </xdr:from>
    <xdr:ext cx="9877425" cy="35337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371475</xdr:colOff>
      <xdr:row>6</xdr:row>
      <xdr:rowOff>152400</xdr:rowOff>
    </xdr:from>
    <xdr:ext cx="9696450" cy="2381250"/>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895350</xdr:colOff>
      <xdr:row>6</xdr:row>
      <xdr:rowOff>152400</xdr:rowOff>
    </xdr:from>
    <xdr:ext cx="12077700" cy="3333750"/>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1</xdr:row>
      <xdr:rowOff>85725</xdr:rowOff>
    </xdr:from>
    <xdr:ext cx="12087225" cy="5391150"/>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B128" sheet="Aux"/>
  </cacheSource>
  <cacheFields>
    <cacheField name="Question" numFmtId="0">
      <sharedItems>
        <s v="Learning to apply the SRA would be easy for me."/>
        <s v="I would find it easy to get the information I need out of the SRA."/>
        <s v="My interaction with the SRA would be clear and understandable."/>
        <s v="I would find SRA to be flexible to interact with."/>
        <s v="It would be easy for me to become skillful at using the SRA."/>
        <s v="I would find the SRA easy to use."/>
      </sharedItems>
    </cacheField>
    <cacheField name="Score" numFmtId="3">
      <sharedItems containsSemiMixedTypes="0" containsString="0" containsNumber="1" containsInteger="1">
        <n v="5.0"/>
        <n v="4.0"/>
        <n v="6.0"/>
        <n v="3.0"/>
        <n v="7.0"/>
        <n v="2.0"/>
        <n v="1.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2:E128" sheet="Aux"/>
  </cacheSource>
  <cacheFields>
    <cacheField name="Question" numFmtId="0">
      <sharedItems>
        <s v="Using the SRA for developing a new NLP4RE tool would enable me to accomplish tasks more quickly."/>
        <s v="Using the SRA would improve my performance when developing an NLP4RE tool."/>
        <s v="Using the SRA when developing a new NLP4RE tool would increase my productivity."/>
        <s v="Using the SRA would enhance my effectiveness when developing a new NLP4RE tool."/>
        <s v="Using the SRA would make it easier to develop a new NLP4RE tool."/>
        <s v="I would find the SRA useful for developing a new NLP4RE tool."/>
      </sharedItems>
    </cacheField>
    <cacheField name="Score" numFmtId="3">
      <sharedItems containsSemiMixedTypes="0" containsString="0" containsNumber="1" containsInteger="1">
        <n v="6.0"/>
        <n v="5.0"/>
        <n v="4.0"/>
        <n v="7.0"/>
        <n v="3.0"/>
        <n v="2.0"/>
        <n v="1.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G2:H65" sheet="Aux"/>
  </cacheSource>
  <cacheFields>
    <cacheField name="Question" numFmtId="0">
      <sharedItems>
        <s v="I intend to use the SRA when developing an NLP4RE tool in the future."/>
        <s v="I intend to recommend colleagues, students, or others to use the SRA when developing a new NLP4RE tool."/>
        <s v="I intend to re-implement an existing NLP4RE tool using the SRA."/>
      </sharedItems>
    </cacheField>
    <cacheField name="Score" numFmtId="3">
      <sharedItems containsSemiMixedTypes="0" containsString="0" containsNumber="1" containsInteger="1">
        <n v="4.0"/>
        <n v="5.0"/>
        <n v="6.0"/>
        <n v="2.0"/>
        <n v="1.0"/>
        <n v="3.0"/>
        <n v="7.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J2:K86" sheet="Aux"/>
  </cacheSource>
  <cacheFields>
    <cacheField name="Question" numFmtId="0">
      <sharedItems>
        <s v="It will cost less effort to re-use components from NLP4RE tools that adhere to the SRA than from comparable NLP4RE tools not adhering to it."/>
        <s v="An NLP4RE tool that adheres to the SRA is applicable to more use cases (e.g., different types of input documents) than comparable NLP4RE tools that do not adhere to it."/>
        <s v="An NLP4RE tool that adheres to the SRA is easier to compare with other tools that perform a similar task (e.g., requirements classification), than comparable NLP4RE tools that do not adhere to it."/>
        <s v="An NLP4RE tool that adheres to the SRA is easier to maintain than comparable NLP4RE tools that do not adhere to it."/>
      </sharedItems>
    </cacheField>
    <cacheField name="Score" numFmtId="3">
      <sharedItems containsSemiMixedTypes="0" containsString="0" containsNumber="1" containsInteger="1">
        <n v="7.0"/>
        <n v="4.0"/>
        <n v="6.0"/>
        <n v="5.0"/>
        <n v="3.0"/>
        <n v="2.0"/>
        <n v="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erceived Ease of Use" cacheId="0" dataCaption="" rowGrandTotals="0" colGrandTotals="0" compact="0" compactData="0">
  <location ref="A1:H8" firstHeaderRow="0" firstDataRow="1" firstDataCol="1"/>
  <pivotFields>
    <pivotField name="Perceived Ease of Use" axis="axisRow" compact="0" outline="0" multipleItemSelectionAllowed="1" showAll="0" sortType="ascending">
      <items>
        <item x="1"/>
        <item x="3"/>
        <item x="5"/>
        <item x="4"/>
        <item x="0"/>
        <item x="2"/>
        <item t="default"/>
      </items>
    </pivotField>
    <pivotField name="Score" axis="axisCol" dataField="1" compact="0" numFmtId="3" outline="0" multipleItemSelectionAllowed="1" showAll="0" sortType="ascending">
      <items>
        <item x="6"/>
        <item x="5"/>
        <item x="3"/>
        <item x="1"/>
        <item x="0"/>
        <item x="2"/>
        <item x="4"/>
        <item t="default"/>
      </items>
    </pivotField>
  </pivotFields>
  <rowFields>
    <field x="0"/>
  </rowFields>
  <colFields>
    <field x="1"/>
  </colFields>
  <dataFields>
    <dataField name="COUNT of Score" fld="1" subtotal="countNums" baseField="0"/>
  </dataFields>
</pivotTableDefinition>
</file>

<file path=xl/pivotTables/pivotTable2.xml><?xml version="1.0" encoding="utf-8"?>
<pivotTableDefinition xmlns="http://schemas.openxmlformats.org/spreadsheetml/2006/main" name="Perceived Usefulness" cacheId="1" dataCaption="" rowGrandTotals="0" colGrandTotals="0" compact="0" compactData="0">
  <location ref="A1:H8" firstHeaderRow="0" firstDataRow="1" firstDataCol="1"/>
  <pivotFields>
    <pivotField name="Perceived Usefulness" axis="axisRow" compact="0" outline="0" multipleItemSelectionAllowed="1" showAll="0" sortType="ascending">
      <items>
        <item x="5"/>
        <item x="0"/>
        <item x="2"/>
        <item x="3"/>
        <item x="1"/>
        <item x="4"/>
        <item t="default"/>
      </items>
    </pivotField>
    <pivotField name="Score" axis="axisCol" dataField="1" compact="0" numFmtId="3" outline="0" multipleItemSelectionAllowed="1" showAll="0" sortType="ascending">
      <items>
        <item x="6"/>
        <item x="5"/>
        <item x="4"/>
        <item x="2"/>
        <item x="1"/>
        <item x="0"/>
        <item x="3"/>
        <item t="default"/>
      </items>
    </pivotField>
  </pivotFields>
  <rowFields>
    <field x="0"/>
  </rowFields>
  <colFields>
    <field x="1"/>
  </colFields>
  <dataFields>
    <dataField name="COUNT of Score" fld="1" subtotal="countNums" baseField="0"/>
  </dataFields>
</pivotTableDefinition>
</file>

<file path=xl/pivotTables/pivotTable3.xml><?xml version="1.0" encoding="utf-8"?>
<pivotTableDefinition xmlns="http://schemas.openxmlformats.org/spreadsheetml/2006/main" name="Intention to Use" cacheId="2" dataCaption="" rowGrandTotals="0" colGrandTotals="0" compact="0" compactData="0">
  <location ref="A1:H5" firstHeaderRow="0" firstDataRow="1" firstDataCol="1"/>
  <pivotFields>
    <pivotField name="Question" axis="axisRow" compact="0" outline="0" multipleItemSelectionAllowed="1" showAll="0" sortType="ascending">
      <items>
        <item x="2"/>
        <item x="1"/>
        <item x="0"/>
        <item t="default"/>
      </items>
    </pivotField>
    <pivotField name="Score" axis="axisCol" dataField="1" compact="0" numFmtId="3" outline="0" multipleItemSelectionAllowed="1" showAll="0" sortType="ascending">
      <items>
        <item x="4"/>
        <item x="3"/>
        <item x="5"/>
        <item x="0"/>
        <item x="1"/>
        <item x="2"/>
        <item x="6"/>
        <item t="default"/>
      </items>
    </pivotField>
  </pivotFields>
  <rowFields>
    <field x="0"/>
  </rowFields>
  <colFields>
    <field x="1"/>
  </colFields>
  <dataFields>
    <dataField name="COUNT of Score" fld="1" subtotal="countNums" baseField="0"/>
  </dataFields>
</pivotTableDefinition>
</file>

<file path=xl/pivotTables/pivotTable4.xml><?xml version="1.0" encoding="utf-8"?>
<pivotTableDefinition xmlns="http://schemas.openxmlformats.org/spreadsheetml/2006/main" name="Goal Fulfillment" cacheId="3" dataCaption="" rowGrandTotals="0" colGrandTotals="0" compact="0" compactData="0">
  <location ref="A1:H6" firstHeaderRow="0" firstDataRow="1" firstDataCol="1"/>
  <pivotFields>
    <pivotField name="Goal Fulfillment" axis="axisRow" compact="0" outline="0" multipleItemSelectionAllowed="1" showAll="0" sortType="ascending">
      <items>
        <item x="1"/>
        <item x="2"/>
        <item x="3"/>
        <item x="0"/>
        <item t="default"/>
      </items>
    </pivotField>
    <pivotField name="Score" axis="axisCol" dataField="1" compact="0" numFmtId="3" outline="0" multipleItemSelectionAllowed="1" showAll="0" sortType="ascending">
      <items>
        <item x="6"/>
        <item x="5"/>
        <item x="4"/>
        <item x="1"/>
        <item x="3"/>
        <item x="2"/>
        <item x="0"/>
        <item t="default"/>
      </items>
    </pivotField>
  </pivotFields>
  <rowFields>
    <field x="0"/>
  </rowFields>
  <colFields>
    <field x="1"/>
  </colFields>
  <dataFields>
    <dataField name="COUNT of Score" fld="1" subtotal="countNums"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build.fillout.com/editor/jmGtx5dRm2us/results?sessionId=ed6311f7-3989-44e4-ad0d-a8c648f0fd95" TargetMode="External"/><Relationship Id="rId11" Type="http://schemas.openxmlformats.org/officeDocument/2006/relationships/hyperlink" Target="https://build.fillout.com/editor/jmGtx5dRm2us/results?sessionId=bb1cee3d-3225-4d28-b25d-0677ea62cb17" TargetMode="External"/><Relationship Id="rId22" Type="http://schemas.openxmlformats.org/officeDocument/2006/relationships/drawing" Target="../drawings/drawing1.xml"/><Relationship Id="rId10" Type="http://schemas.openxmlformats.org/officeDocument/2006/relationships/hyperlink" Target="https://build.fillout.com/editor/jmGtx5dRm2us/results?sessionId=daecc691-485c-43f9-ad11-6461785398fa" TargetMode="External"/><Relationship Id="rId21" Type="http://schemas.openxmlformats.org/officeDocument/2006/relationships/hyperlink" Target="https://build.fillout.com/editor/jmGtx5dRm2us/results?sessionId=aab4b883-1788-4dec-ab86-6d44ffe60e65" TargetMode="External"/><Relationship Id="rId13" Type="http://schemas.openxmlformats.org/officeDocument/2006/relationships/hyperlink" Target="https://build.fillout.com/editor/jmGtx5dRm2us/results?sessionId=ebe015f1-a5ac-456a-9004-4c4b34f3f244" TargetMode="External"/><Relationship Id="rId12" Type="http://schemas.openxmlformats.org/officeDocument/2006/relationships/hyperlink" Target="https://build.fillout.com/editor/jmGtx5dRm2us/results?sessionId=a75278c1-c512-412a-b9f6-3c716831b733" TargetMode="External"/><Relationship Id="rId1" Type="http://schemas.openxmlformats.org/officeDocument/2006/relationships/hyperlink" Target="https://build.fillout.com/editor/jmGtx5dRm2us/results?sessionId=f8662a56-31ea-4aef-915a-84f3d36fc0b7" TargetMode="External"/><Relationship Id="rId2" Type="http://schemas.openxmlformats.org/officeDocument/2006/relationships/hyperlink" Target="https://build.fillout.com/editor/jmGtx5dRm2us/results?sessionId=e002e40f-9df0-4253-8f9b-8f62f2818b1a" TargetMode="External"/><Relationship Id="rId3" Type="http://schemas.openxmlformats.org/officeDocument/2006/relationships/hyperlink" Target="https://build.fillout.com/editor/jmGtx5dRm2us/results?sessionId=04f46aeb-4a37-4b3e-9c58-b5b261307f08" TargetMode="External"/><Relationship Id="rId4" Type="http://schemas.openxmlformats.org/officeDocument/2006/relationships/hyperlink" Target="https://build.fillout.com/editor/jmGtx5dRm2us/results?sessionId=9d8f2b70-03d6-4c72-924b-7ab2c56fb390" TargetMode="External"/><Relationship Id="rId9" Type="http://schemas.openxmlformats.org/officeDocument/2006/relationships/hyperlink" Target="https://build.fillout.com/editor/jmGtx5dRm2us/results?sessionId=6c833749-ced3-4186-b6ad-b9e43ec3e9ad" TargetMode="External"/><Relationship Id="rId15" Type="http://schemas.openxmlformats.org/officeDocument/2006/relationships/hyperlink" Target="https://build.fillout.com/editor/jmGtx5dRm2us/results?sessionId=a5641a6f-1416-4e91-8b6c-71eb9b0a2159" TargetMode="External"/><Relationship Id="rId14" Type="http://schemas.openxmlformats.org/officeDocument/2006/relationships/hyperlink" Target="https://build.fillout.com/editor/jmGtx5dRm2us/results?sessionId=7df9f735-92fc-4971-a6a3-36a4134eb074" TargetMode="External"/><Relationship Id="rId17" Type="http://schemas.openxmlformats.org/officeDocument/2006/relationships/hyperlink" Target="https://build.fillout.com/editor/jmGtx5dRm2us/results?sessionId=273f2f5c-31f3-4209-8278-49d43dfb8f43" TargetMode="External"/><Relationship Id="rId16" Type="http://schemas.openxmlformats.org/officeDocument/2006/relationships/hyperlink" Target="https://build.fillout.com/editor/jmGtx5dRm2us/results?sessionId=05f738e6-6a48-411c-8e6f-aeaa3c4b1aa5" TargetMode="External"/><Relationship Id="rId5" Type="http://schemas.openxmlformats.org/officeDocument/2006/relationships/hyperlink" Target="https://build.fillout.com/editor/jmGtx5dRm2us/results?sessionId=6c478c68-910a-4f63-b412-bdfb90b9e639" TargetMode="External"/><Relationship Id="rId19" Type="http://schemas.openxmlformats.org/officeDocument/2006/relationships/hyperlink" Target="https://build.fillout.com/editor/jmGtx5dRm2us/results?sessionId=a9b0d8f0-ea7b-446a-9a3d-c6d784a68b9a" TargetMode="External"/><Relationship Id="rId6" Type="http://schemas.openxmlformats.org/officeDocument/2006/relationships/hyperlink" Target="https://build.fillout.com/editor/jmGtx5dRm2us/results?sessionId=8f2270dc-49b4-40d8-ad01-84ad5e604450" TargetMode="External"/><Relationship Id="rId18" Type="http://schemas.openxmlformats.org/officeDocument/2006/relationships/hyperlink" Target="https://build.fillout.com/editor/jmGtx5dRm2us/results?sessionId=eaad440e-5ada-4730-9f39-e1aa98d9d29d" TargetMode="External"/><Relationship Id="rId7" Type="http://schemas.openxmlformats.org/officeDocument/2006/relationships/hyperlink" Target="https://build.fillout.com/editor/jmGtx5dRm2us/results?sessionId=c190122f-b381-49e6-8cdb-7824bc46ce0a" TargetMode="External"/><Relationship Id="rId8" Type="http://schemas.openxmlformats.org/officeDocument/2006/relationships/hyperlink" Target="https://build.fillout.com/editor/jmGtx5dRm2us/results?sessionId=660a2d0f-dd7b-48d4-a25a-fd1574fd03d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2" max="34" width="78.13"/>
  </cols>
  <sheetData>
    <row r="1">
      <c r="A1" s="1" t="s">
        <v>0</v>
      </c>
      <c r="B1" s="1" t="s">
        <v>1</v>
      </c>
      <c r="C1" s="1" t="s">
        <v>2</v>
      </c>
      <c r="D1" s="1" t="s">
        <v>3</v>
      </c>
      <c r="E1" s="1" t="s">
        <v>4</v>
      </c>
      <c r="F1" s="1" t="s">
        <v>5</v>
      </c>
      <c r="G1" s="1" t="s">
        <v>6</v>
      </c>
      <c r="H1" s="1" t="s">
        <v>7</v>
      </c>
      <c r="I1" s="1" t="s">
        <v>8</v>
      </c>
      <c r="J1" s="1" t="s">
        <v>9</v>
      </c>
      <c r="K1" s="1" t="s">
        <v>10</v>
      </c>
      <c r="L1" s="2" t="s">
        <v>11</v>
      </c>
      <c r="M1" s="2"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3" t="s">
        <v>35</v>
      </c>
      <c r="AL1" s="4"/>
      <c r="AM1" s="4"/>
    </row>
    <row r="2">
      <c r="A2" s="5" t="s">
        <v>36</v>
      </c>
      <c r="B2" s="5" t="s">
        <v>37</v>
      </c>
      <c r="C2" s="5" t="s">
        <v>38</v>
      </c>
      <c r="D2" s="5" t="s">
        <v>39</v>
      </c>
      <c r="E2" s="5" t="s">
        <v>40</v>
      </c>
      <c r="F2" s="6">
        <v>2.0</v>
      </c>
      <c r="G2" s="7" t="s">
        <v>41</v>
      </c>
      <c r="H2" s="5" t="s">
        <v>41</v>
      </c>
      <c r="I2" s="5" t="s">
        <v>42</v>
      </c>
      <c r="J2" s="5" t="s">
        <v>43</v>
      </c>
      <c r="K2" s="5" t="s">
        <v>41</v>
      </c>
      <c r="L2" s="6">
        <v>5.0</v>
      </c>
      <c r="M2" s="8">
        <v>4.0</v>
      </c>
      <c r="N2" s="8">
        <v>6.0</v>
      </c>
      <c r="O2" s="8">
        <v>6.0</v>
      </c>
      <c r="P2" s="8">
        <v>6.0</v>
      </c>
      <c r="Q2" s="8">
        <v>6.0</v>
      </c>
      <c r="R2" s="8">
        <v>6.0</v>
      </c>
      <c r="S2" s="8">
        <v>5.0</v>
      </c>
      <c r="T2" s="8">
        <v>5.0</v>
      </c>
      <c r="U2" s="8">
        <v>5.0</v>
      </c>
      <c r="V2" s="8">
        <v>5.0</v>
      </c>
      <c r="W2" s="8">
        <v>6.0</v>
      </c>
      <c r="X2" s="8">
        <v>4.0</v>
      </c>
      <c r="Y2" s="8">
        <v>4.0</v>
      </c>
      <c r="Z2" s="8">
        <v>5.0</v>
      </c>
      <c r="AA2" s="8">
        <v>7.0</v>
      </c>
      <c r="AB2" s="8">
        <v>7.0</v>
      </c>
      <c r="AC2" s="8">
        <v>7.0</v>
      </c>
      <c r="AD2" s="8">
        <v>7.0</v>
      </c>
      <c r="AE2" s="7" t="s">
        <v>44</v>
      </c>
      <c r="AF2" s="5" t="s">
        <v>45</v>
      </c>
      <c r="AG2" s="5" t="s">
        <v>46</v>
      </c>
      <c r="AH2" s="5" t="s">
        <v>43</v>
      </c>
      <c r="AI2" s="9" t="s">
        <v>47</v>
      </c>
      <c r="AJ2" s="5" t="s">
        <v>48</v>
      </c>
      <c r="AK2" s="10"/>
    </row>
    <row r="3">
      <c r="A3" s="5" t="s">
        <v>49</v>
      </c>
      <c r="B3" s="5" t="s">
        <v>50</v>
      </c>
      <c r="C3" s="5" t="s">
        <v>51</v>
      </c>
      <c r="D3" s="5" t="s">
        <v>39</v>
      </c>
      <c r="E3" s="5" t="s">
        <v>40</v>
      </c>
      <c r="F3" s="6">
        <v>3.0</v>
      </c>
      <c r="G3" s="7" t="s">
        <v>41</v>
      </c>
      <c r="H3" s="5" t="s">
        <v>42</v>
      </c>
      <c r="I3" s="5" t="s">
        <v>42</v>
      </c>
      <c r="J3" s="5" t="s">
        <v>52</v>
      </c>
      <c r="K3" s="5" t="s">
        <v>42</v>
      </c>
      <c r="L3" s="6">
        <v>4.0</v>
      </c>
      <c r="M3" s="8">
        <v>6.0</v>
      </c>
      <c r="N3" s="8">
        <v>6.0</v>
      </c>
      <c r="O3" s="8">
        <v>6.0</v>
      </c>
      <c r="P3" s="8">
        <v>4.0</v>
      </c>
      <c r="Q3" s="8">
        <v>6.0</v>
      </c>
      <c r="R3" s="8">
        <v>6.0</v>
      </c>
      <c r="S3" s="8">
        <v>6.0</v>
      </c>
      <c r="T3" s="8">
        <v>6.0</v>
      </c>
      <c r="U3" s="8">
        <v>6.0</v>
      </c>
      <c r="V3" s="8">
        <v>6.0</v>
      </c>
      <c r="W3" s="8">
        <v>6.0</v>
      </c>
      <c r="X3" s="8">
        <v>6.0</v>
      </c>
      <c r="Y3" s="8">
        <v>6.0</v>
      </c>
      <c r="Z3" s="8">
        <v>5.0</v>
      </c>
      <c r="AA3" s="8">
        <v>4.0</v>
      </c>
      <c r="AB3" s="8">
        <v>4.0</v>
      </c>
      <c r="AC3" s="8">
        <v>6.0</v>
      </c>
      <c r="AD3" s="8">
        <v>5.0</v>
      </c>
      <c r="AE3" s="7" t="s">
        <v>53</v>
      </c>
      <c r="AF3" s="5" t="s">
        <v>54</v>
      </c>
      <c r="AH3" s="5" t="s">
        <v>43</v>
      </c>
      <c r="AI3" s="9" t="s">
        <v>55</v>
      </c>
      <c r="AJ3" s="5" t="s">
        <v>56</v>
      </c>
      <c r="AK3" s="10"/>
    </row>
    <row r="4">
      <c r="A4" s="5" t="s">
        <v>57</v>
      </c>
      <c r="B4" s="5" t="s">
        <v>58</v>
      </c>
      <c r="C4" s="5" t="s">
        <v>59</v>
      </c>
      <c r="D4" s="5" t="s">
        <v>39</v>
      </c>
      <c r="E4" s="5" t="s">
        <v>40</v>
      </c>
      <c r="F4" s="6">
        <v>2.0</v>
      </c>
      <c r="G4" s="7" t="s">
        <v>41</v>
      </c>
      <c r="H4" s="5" t="s">
        <v>41</v>
      </c>
      <c r="I4" s="5" t="s">
        <v>41</v>
      </c>
      <c r="J4" s="5" t="s">
        <v>43</v>
      </c>
      <c r="K4" s="5" t="s">
        <v>60</v>
      </c>
      <c r="L4" s="6">
        <v>4.0</v>
      </c>
      <c r="M4" s="8">
        <v>4.0</v>
      </c>
      <c r="N4" s="8">
        <v>4.0</v>
      </c>
      <c r="O4" s="8">
        <v>4.0</v>
      </c>
      <c r="P4" s="8">
        <v>4.0</v>
      </c>
      <c r="Q4" s="8">
        <v>4.0</v>
      </c>
      <c r="R4" s="8">
        <v>5.0</v>
      </c>
      <c r="S4" s="8">
        <v>4.0</v>
      </c>
      <c r="T4" s="8">
        <v>5.0</v>
      </c>
      <c r="U4" s="8">
        <v>4.0</v>
      </c>
      <c r="V4" s="8">
        <v>5.0</v>
      </c>
      <c r="W4" s="8">
        <v>5.0</v>
      </c>
      <c r="X4" s="8">
        <v>5.0</v>
      </c>
      <c r="Y4" s="8">
        <v>4.0</v>
      </c>
      <c r="Z4" s="8">
        <v>4.0</v>
      </c>
      <c r="AA4" s="8">
        <v>5.0</v>
      </c>
      <c r="AB4" s="8">
        <v>4.0</v>
      </c>
      <c r="AC4" s="8">
        <v>6.0</v>
      </c>
      <c r="AD4" s="8">
        <v>4.0</v>
      </c>
      <c r="AE4" s="7" t="s">
        <v>61</v>
      </c>
      <c r="AF4" s="5" t="s">
        <v>62</v>
      </c>
      <c r="AG4" s="5" t="s">
        <v>63</v>
      </c>
      <c r="AH4" s="5" t="s">
        <v>43</v>
      </c>
      <c r="AI4" s="9" t="s">
        <v>64</v>
      </c>
      <c r="AJ4" s="5" t="s">
        <v>65</v>
      </c>
      <c r="AK4" s="10"/>
    </row>
    <row r="5">
      <c r="A5" s="5" t="s">
        <v>66</v>
      </c>
      <c r="B5" s="5" t="s">
        <v>67</v>
      </c>
      <c r="C5" s="5" t="s">
        <v>68</v>
      </c>
      <c r="D5" s="5" t="s">
        <v>39</v>
      </c>
      <c r="E5" s="5" t="s">
        <v>40</v>
      </c>
      <c r="F5" s="6">
        <v>3.0</v>
      </c>
      <c r="G5" s="7" t="s">
        <v>41</v>
      </c>
      <c r="H5" s="5" t="s">
        <v>41</v>
      </c>
      <c r="I5" s="5" t="s">
        <v>42</v>
      </c>
      <c r="J5" s="5" t="s">
        <v>69</v>
      </c>
      <c r="K5" s="5" t="s">
        <v>42</v>
      </c>
      <c r="L5" s="6">
        <v>5.0</v>
      </c>
      <c r="M5" s="8">
        <v>3.0</v>
      </c>
      <c r="N5" s="8">
        <v>4.0</v>
      </c>
      <c r="O5" s="8">
        <v>5.0</v>
      </c>
      <c r="P5" s="8">
        <v>4.0</v>
      </c>
      <c r="Q5" s="8">
        <v>6.0</v>
      </c>
      <c r="R5" s="8">
        <v>6.0</v>
      </c>
      <c r="S5" s="8">
        <v>6.0</v>
      </c>
      <c r="T5" s="8">
        <v>6.0</v>
      </c>
      <c r="U5" s="8">
        <v>7.0</v>
      </c>
      <c r="V5" s="8">
        <v>6.0</v>
      </c>
      <c r="W5" s="8">
        <v>7.0</v>
      </c>
      <c r="X5" s="8">
        <v>5.0</v>
      </c>
      <c r="Y5" s="8">
        <v>5.0</v>
      </c>
      <c r="Z5" s="8">
        <v>2.0</v>
      </c>
      <c r="AA5" s="8">
        <v>7.0</v>
      </c>
      <c r="AB5" s="8">
        <v>7.0</v>
      </c>
      <c r="AC5" s="8">
        <v>7.0</v>
      </c>
      <c r="AD5" s="8">
        <v>6.0</v>
      </c>
      <c r="AE5" s="7" t="s">
        <v>70</v>
      </c>
      <c r="AF5" s="5" t="s">
        <v>71</v>
      </c>
      <c r="AH5" s="5" t="s">
        <v>43</v>
      </c>
      <c r="AI5" s="9" t="s">
        <v>72</v>
      </c>
      <c r="AJ5" s="5" t="s">
        <v>73</v>
      </c>
      <c r="AK5" s="10" t="s">
        <v>74</v>
      </c>
    </row>
    <row r="6">
      <c r="A6" s="5" t="s">
        <v>75</v>
      </c>
      <c r="B6" s="5" t="s">
        <v>76</v>
      </c>
      <c r="C6" s="5" t="s">
        <v>77</v>
      </c>
      <c r="D6" s="5" t="s">
        <v>39</v>
      </c>
      <c r="E6" s="5" t="s">
        <v>40</v>
      </c>
      <c r="F6" s="6">
        <v>1.0</v>
      </c>
      <c r="G6" s="7" t="s">
        <v>41</v>
      </c>
      <c r="H6" s="5" t="s">
        <v>41</v>
      </c>
      <c r="I6" s="5" t="s">
        <v>42</v>
      </c>
      <c r="J6" s="5" t="s">
        <v>52</v>
      </c>
      <c r="K6" s="5" t="s">
        <v>42</v>
      </c>
      <c r="L6" s="6">
        <v>3.0</v>
      </c>
      <c r="M6" s="8">
        <v>5.0</v>
      </c>
      <c r="N6" s="8">
        <v>5.0</v>
      </c>
      <c r="O6" s="8">
        <v>5.0</v>
      </c>
      <c r="P6" s="8">
        <v>5.0</v>
      </c>
      <c r="Q6" s="8">
        <v>5.0</v>
      </c>
      <c r="R6" s="8">
        <v>6.0</v>
      </c>
      <c r="S6" s="8">
        <v>5.0</v>
      </c>
      <c r="T6" s="8">
        <v>5.0</v>
      </c>
      <c r="U6" s="8">
        <v>5.0</v>
      </c>
      <c r="V6" s="8">
        <v>5.0</v>
      </c>
      <c r="W6" s="8">
        <v>5.0</v>
      </c>
      <c r="X6" s="8">
        <v>5.0</v>
      </c>
      <c r="Y6" s="8">
        <v>4.0</v>
      </c>
      <c r="Z6" s="8">
        <v>2.0</v>
      </c>
      <c r="AA6" s="8">
        <v>6.0</v>
      </c>
      <c r="AB6" s="8">
        <v>5.0</v>
      </c>
      <c r="AC6" s="8">
        <v>7.0</v>
      </c>
      <c r="AD6" s="8">
        <v>7.0</v>
      </c>
      <c r="AE6" s="7" t="s">
        <v>78</v>
      </c>
      <c r="AF6" s="5" t="s">
        <v>79</v>
      </c>
      <c r="AH6" s="5" t="s">
        <v>43</v>
      </c>
      <c r="AI6" s="9" t="s">
        <v>80</v>
      </c>
      <c r="AJ6" s="5" t="s">
        <v>81</v>
      </c>
      <c r="AK6" s="10" t="s">
        <v>82</v>
      </c>
    </row>
    <row r="7">
      <c r="A7" s="5" t="s">
        <v>83</v>
      </c>
      <c r="B7" s="5" t="s">
        <v>84</v>
      </c>
      <c r="C7" s="5" t="s">
        <v>85</v>
      </c>
      <c r="D7" s="5" t="s">
        <v>39</v>
      </c>
      <c r="E7" s="5" t="s">
        <v>40</v>
      </c>
      <c r="F7" s="6">
        <v>4.0</v>
      </c>
      <c r="G7" s="7" t="s">
        <v>41</v>
      </c>
      <c r="H7" s="5" t="s">
        <v>41</v>
      </c>
      <c r="I7" s="5" t="s">
        <v>42</v>
      </c>
      <c r="J7" s="5" t="s">
        <v>52</v>
      </c>
      <c r="K7" s="5" t="s">
        <v>41</v>
      </c>
      <c r="L7" s="6">
        <v>4.0</v>
      </c>
      <c r="M7" s="8">
        <v>5.0</v>
      </c>
      <c r="N7" s="8">
        <v>5.0</v>
      </c>
      <c r="O7" s="8">
        <v>5.0</v>
      </c>
      <c r="P7" s="8">
        <v>4.0</v>
      </c>
      <c r="Q7" s="8">
        <v>4.0</v>
      </c>
      <c r="R7" s="8">
        <v>4.0</v>
      </c>
      <c r="S7" s="8">
        <v>3.0</v>
      </c>
      <c r="T7" s="8">
        <v>4.0</v>
      </c>
      <c r="U7" s="8">
        <v>3.0</v>
      </c>
      <c r="V7" s="8">
        <v>4.0</v>
      </c>
      <c r="W7" s="8">
        <v>4.0</v>
      </c>
      <c r="X7" s="8">
        <v>4.0</v>
      </c>
      <c r="Y7" s="8">
        <v>4.0</v>
      </c>
      <c r="Z7" s="8">
        <v>1.0</v>
      </c>
      <c r="AA7" s="8">
        <v>3.0</v>
      </c>
      <c r="AB7" s="8">
        <v>4.0</v>
      </c>
      <c r="AC7" s="8">
        <v>2.0</v>
      </c>
      <c r="AD7" s="8">
        <v>3.0</v>
      </c>
      <c r="AE7" s="7" t="s">
        <v>86</v>
      </c>
      <c r="AF7" s="5" t="s">
        <v>87</v>
      </c>
      <c r="AG7" s="11" t="s">
        <v>88</v>
      </c>
      <c r="AH7" s="5" t="s">
        <v>43</v>
      </c>
      <c r="AI7" s="9" t="s">
        <v>89</v>
      </c>
      <c r="AJ7" s="5" t="s">
        <v>90</v>
      </c>
      <c r="AK7" s="10" t="s">
        <v>91</v>
      </c>
    </row>
    <row r="8">
      <c r="A8" s="5" t="s">
        <v>92</v>
      </c>
      <c r="B8" s="5" t="s">
        <v>93</v>
      </c>
      <c r="C8" s="5" t="s">
        <v>94</v>
      </c>
      <c r="D8" s="5" t="s">
        <v>39</v>
      </c>
      <c r="E8" s="5" t="s">
        <v>40</v>
      </c>
      <c r="F8" s="6">
        <v>2.0</v>
      </c>
      <c r="G8" s="7" t="s">
        <v>41</v>
      </c>
      <c r="H8" s="5" t="s">
        <v>41</v>
      </c>
      <c r="I8" s="5" t="s">
        <v>42</v>
      </c>
      <c r="J8" s="5" t="s">
        <v>43</v>
      </c>
      <c r="K8" s="5" t="s">
        <v>41</v>
      </c>
      <c r="L8" s="6">
        <v>5.0</v>
      </c>
      <c r="M8" s="8">
        <v>5.0</v>
      </c>
      <c r="N8" s="8">
        <v>5.0</v>
      </c>
      <c r="O8" s="8">
        <v>5.0</v>
      </c>
      <c r="P8" s="8">
        <v>4.0</v>
      </c>
      <c r="Q8" s="8">
        <v>5.0</v>
      </c>
      <c r="R8" s="8">
        <v>6.0</v>
      </c>
      <c r="S8" s="8">
        <v>6.0</v>
      </c>
      <c r="T8" s="8">
        <v>6.0</v>
      </c>
      <c r="U8" s="8">
        <v>6.0</v>
      </c>
      <c r="V8" s="8">
        <v>6.0</v>
      </c>
      <c r="W8" s="8">
        <v>7.0</v>
      </c>
      <c r="X8" s="8">
        <v>5.0</v>
      </c>
      <c r="Y8" s="8">
        <v>6.0</v>
      </c>
      <c r="Z8" s="8">
        <v>3.0</v>
      </c>
      <c r="AA8" s="8">
        <v>6.0</v>
      </c>
      <c r="AB8" s="8">
        <v>7.0</v>
      </c>
      <c r="AC8" s="8">
        <v>6.0</v>
      </c>
      <c r="AD8" s="8">
        <v>6.0</v>
      </c>
      <c r="AE8" s="7" t="s">
        <v>95</v>
      </c>
      <c r="AF8" s="5" t="s">
        <v>96</v>
      </c>
      <c r="AG8" s="5" t="s">
        <v>97</v>
      </c>
      <c r="AH8" s="5" t="s">
        <v>43</v>
      </c>
      <c r="AI8" s="9" t="s">
        <v>98</v>
      </c>
      <c r="AJ8" s="5" t="s">
        <v>99</v>
      </c>
      <c r="AK8" s="10" t="s">
        <v>100</v>
      </c>
    </row>
    <row r="9">
      <c r="A9" s="5" t="s">
        <v>101</v>
      </c>
      <c r="B9" s="5" t="s">
        <v>102</v>
      </c>
      <c r="C9" s="5" t="s">
        <v>103</v>
      </c>
      <c r="D9" s="5" t="s">
        <v>39</v>
      </c>
      <c r="E9" s="5" t="s">
        <v>40</v>
      </c>
      <c r="F9" s="6">
        <v>2.0</v>
      </c>
      <c r="G9" s="7" t="s">
        <v>41</v>
      </c>
      <c r="H9" s="5" t="s">
        <v>42</v>
      </c>
      <c r="I9" s="5" t="s">
        <v>42</v>
      </c>
      <c r="J9" s="5" t="s">
        <v>52</v>
      </c>
      <c r="K9" s="5" t="s">
        <v>41</v>
      </c>
      <c r="L9" s="6">
        <v>6.0</v>
      </c>
      <c r="M9" s="8">
        <v>7.0</v>
      </c>
      <c r="N9" s="8">
        <v>6.0</v>
      </c>
      <c r="O9" s="8">
        <v>6.0</v>
      </c>
      <c r="P9" s="8">
        <v>6.0</v>
      </c>
      <c r="Q9" s="8">
        <v>6.0</v>
      </c>
      <c r="R9" s="8">
        <v>7.0</v>
      </c>
      <c r="S9" s="8">
        <v>7.0</v>
      </c>
      <c r="T9" s="8">
        <v>6.0</v>
      </c>
      <c r="U9" s="8">
        <v>6.0</v>
      </c>
      <c r="V9" s="8">
        <v>6.0</v>
      </c>
      <c r="W9" s="8">
        <v>7.0</v>
      </c>
      <c r="X9" s="8">
        <v>7.0</v>
      </c>
      <c r="Y9" s="8">
        <v>7.0</v>
      </c>
      <c r="Z9" s="8">
        <v>4.0</v>
      </c>
      <c r="AA9" s="8">
        <v>7.0</v>
      </c>
      <c r="AB9" s="8">
        <v>4.0</v>
      </c>
      <c r="AC9" s="8">
        <v>6.0</v>
      </c>
      <c r="AD9" s="8">
        <v>6.0</v>
      </c>
      <c r="AE9" s="7" t="s">
        <v>104</v>
      </c>
      <c r="AF9" s="5" t="s">
        <v>105</v>
      </c>
      <c r="AG9" s="5" t="s">
        <v>106</v>
      </c>
      <c r="AH9" s="5" t="s">
        <v>43</v>
      </c>
      <c r="AI9" s="9" t="s">
        <v>107</v>
      </c>
      <c r="AJ9" s="5" t="s">
        <v>108</v>
      </c>
      <c r="AK9" s="10" t="s">
        <v>109</v>
      </c>
    </row>
    <row r="10">
      <c r="A10" s="5" t="s">
        <v>110</v>
      </c>
      <c r="B10" s="5" t="s">
        <v>111</v>
      </c>
      <c r="C10" s="5" t="s">
        <v>112</v>
      </c>
      <c r="D10" s="5" t="s">
        <v>39</v>
      </c>
      <c r="E10" s="5" t="s">
        <v>40</v>
      </c>
      <c r="F10" s="6">
        <v>1.0</v>
      </c>
      <c r="G10" s="7" t="s">
        <v>41</v>
      </c>
      <c r="H10" s="5" t="s">
        <v>41</v>
      </c>
      <c r="I10" s="5" t="s">
        <v>42</v>
      </c>
      <c r="J10" s="5" t="s">
        <v>52</v>
      </c>
      <c r="K10" s="5" t="s">
        <v>42</v>
      </c>
      <c r="L10" s="6">
        <v>3.0</v>
      </c>
      <c r="M10" s="8">
        <v>5.0</v>
      </c>
      <c r="N10" s="8">
        <v>4.0</v>
      </c>
      <c r="O10" s="8">
        <v>2.0</v>
      </c>
      <c r="P10" s="8">
        <v>4.0</v>
      </c>
      <c r="Q10" s="8">
        <v>4.0</v>
      </c>
      <c r="R10" s="8">
        <v>6.0</v>
      </c>
      <c r="S10" s="8">
        <v>6.0</v>
      </c>
      <c r="T10" s="8">
        <v>4.0</v>
      </c>
      <c r="U10" s="8">
        <v>4.0</v>
      </c>
      <c r="V10" s="8">
        <v>5.0</v>
      </c>
      <c r="W10" s="8">
        <v>6.0</v>
      </c>
      <c r="X10" s="8">
        <v>5.0</v>
      </c>
      <c r="Y10" s="8">
        <v>5.0</v>
      </c>
      <c r="Z10" s="8">
        <v>4.0</v>
      </c>
      <c r="AA10" s="8">
        <v>7.0</v>
      </c>
      <c r="AB10" s="8">
        <v>4.0</v>
      </c>
      <c r="AC10" s="8">
        <v>6.0</v>
      </c>
      <c r="AD10" s="8">
        <v>7.0</v>
      </c>
      <c r="AE10" s="7" t="s">
        <v>113</v>
      </c>
      <c r="AF10" s="11" t="s">
        <v>114</v>
      </c>
      <c r="AG10" s="12"/>
      <c r="AH10" s="5" t="s">
        <v>43</v>
      </c>
      <c r="AI10" s="9" t="s">
        <v>115</v>
      </c>
      <c r="AJ10" s="5" t="s">
        <v>116</v>
      </c>
      <c r="AK10" s="10" t="s">
        <v>117</v>
      </c>
    </row>
    <row r="11">
      <c r="A11" s="5" t="s">
        <v>118</v>
      </c>
      <c r="B11" s="5" t="s">
        <v>119</v>
      </c>
      <c r="C11" s="5" t="s">
        <v>120</v>
      </c>
      <c r="D11" s="5" t="s">
        <v>39</v>
      </c>
      <c r="E11" s="5" t="s">
        <v>40</v>
      </c>
      <c r="F11" s="6">
        <v>3.0</v>
      </c>
      <c r="G11" s="7" t="s">
        <v>41</v>
      </c>
      <c r="H11" s="5" t="s">
        <v>41</v>
      </c>
      <c r="I11" s="5" t="s">
        <v>42</v>
      </c>
      <c r="J11" s="5" t="s">
        <v>52</v>
      </c>
      <c r="K11" s="5" t="s">
        <v>41</v>
      </c>
      <c r="L11" s="6">
        <v>5.0</v>
      </c>
      <c r="M11" s="8">
        <v>4.0</v>
      </c>
      <c r="N11" s="8">
        <v>4.0</v>
      </c>
      <c r="O11" s="8">
        <v>5.0</v>
      </c>
      <c r="P11" s="8">
        <v>5.0</v>
      </c>
      <c r="Q11" s="8">
        <v>4.0</v>
      </c>
      <c r="R11" s="8">
        <v>5.0</v>
      </c>
      <c r="S11" s="8">
        <v>5.0</v>
      </c>
      <c r="T11" s="8">
        <v>4.0</v>
      </c>
      <c r="U11" s="8">
        <v>5.0</v>
      </c>
      <c r="V11" s="8">
        <v>5.0</v>
      </c>
      <c r="W11" s="8">
        <v>5.0</v>
      </c>
      <c r="X11" s="8">
        <v>4.0</v>
      </c>
      <c r="Y11" s="8">
        <v>5.0</v>
      </c>
      <c r="Z11" s="8">
        <v>3.0</v>
      </c>
      <c r="AA11" s="8">
        <v>6.0</v>
      </c>
      <c r="AB11" s="8">
        <v>4.0</v>
      </c>
      <c r="AC11" s="8">
        <v>4.0</v>
      </c>
      <c r="AD11" s="8">
        <v>6.0</v>
      </c>
      <c r="AE11" s="7" t="s">
        <v>121</v>
      </c>
      <c r="AF11" s="5" t="s">
        <v>122</v>
      </c>
      <c r="AH11" s="5" t="s">
        <v>43</v>
      </c>
      <c r="AI11" s="9" t="s">
        <v>123</v>
      </c>
      <c r="AJ11" s="5" t="s">
        <v>124</v>
      </c>
      <c r="AK11" s="10" t="s">
        <v>125</v>
      </c>
    </row>
    <row r="12">
      <c r="A12" s="5" t="s">
        <v>126</v>
      </c>
      <c r="B12" s="5" t="s">
        <v>127</v>
      </c>
      <c r="C12" s="5" t="s">
        <v>128</v>
      </c>
      <c r="D12" s="5" t="s">
        <v>39</v>
      </c>
      <c r="E12" s="5" t="s">
        <v>40</v>
      </c>
      <c r="F12" s="6">
        <v>1.0</v>
      </c>
      <c r="G12" s="7" t="s">
        <v>41</v>
      </c>
      <c r="H12" s="5" t="s">
        <v>41</v>
      </c>
      <c r="I12" s="5" t="s">
        <v>42</v>
      </c>
      <c r="J12" s="5" t="s">
        <v>43</v>
      </c>
      <c r="K12" s="5" t="s">
        <v>42</v>
      </c>
      <c r="L12" s="6">
        <v>6.0</v>
      </c>
      <c r="M12" s="8">
        <v>6.0</v>
      </c>
      <c r="N12" s="8">
        <v>6.0</v>
      </c>
      <c r="O12" s="8">
        <v>4.0</v>
      </c>
      <c r="P12" s="8">
        <v>6.0</v>
      </c>
      <c r="Q12" s="8">
        <v>6.0</v>
      </c>
      <c r="R12" s="8">
        <v>7.0</v>
      </c>
      <c r="S12" s="8">
        <v>7.0</v>
      </c>
      <c r="T12" s="8">
        <v>7.0</v>
      </c>
      <c r="U12" s="8">
        <v>7.0</v>
      </c>
      <c r="V12" s="8">
        <v>7.0</v>
      </c>
      <c r="W12" s="8">
        <v>7.0</v>
      </c>
      <c r="X12" s="8">
        <v>5.0</v>
      </c>
      <c r="Y12" s="8">
        <v>6.0</v>
      </c>
      <c r="Z12" s="8">
        <v>2.0</v>
      </c>
      <c r="AA12" s="8">
        <v>7.0</v>
      </c>
      <c r="AB12" s="8">
        <v>6.0</v>
      </c>
      <c r="AC12" s="8">
        <v>7.0</v>
      </c>
      <c r="AD12" s="8">
        <v>5.0</v>
      </c>
      <c r="AE12" s="7" t="s">
        <v>43</v>
      </c>
      <c r="AF12" s="5" t="s">
        <v>129</v>
      </c>
      <c r="AH12" s="5" t="s">
        <v>43</v>
      </c>
      <c r="AI12" s="9" t="s">
        <v>130</v>
      </c>
      <c r="AJ12" s="5" t="s">
        <v>131</v>
      </c>
      <c r="AK12" s="10" t="s">
        <v>132</v>
      </c>
    </row>
    <row r="13">
      <c r="A13" s="5" t="s">
        <v>133</v>
      </c>
      <c r="B13" s="5" t="s">
        <v>134</v>
      </c>
      <c r="C13" s="5" t="s">
        <v>135</v>
      </c>
      <c r="D13" s="5" t="s">
        <v>39</v>
      </c>
      <c r="E13" s="5" t="s">
        <v>40</v>
      </c>
      <c r="F13" s="6">
        <v>4.0</v>
      </c>
      <c r="G13" s="7" t="s">
        <v>41</v>
      </c>
      <c r="H13" s="5" t="s">
        <v>41</v>
      </c>
      <c r="I13" s="5" t="s">
        <v>42</v>
      </c>
      <c r="J13" s="5" t="s">
        <v>43</v>
      </c>
      <c r="K13" s="5" t="s">
        <v>41</v>
      </c>
      <c r="L13" s="6">
        <v>5.0</v>
      </c>
      <c r="M13" s="8">
        <v>4.0</v>
      </c>
      <c r="N13" s="8">
        <v>4.0</v>
      </c>
      <c r="O13" s="8">
        <v>6.0</v>
      </c>
      <c r="P13" s="8">
        <v>2.0</v>
      </c>
      <c r="Q13" s="8">
        <v>3.0</v>
      </c>
      <c r="R13" s="8">
        <v>6.0</v>
      </c>
      <c r="S13" s="8">
        <v>5.0</v>
      </c>
      <c r="T13" s="8">
        <v>6.0</v>
      </c>
      <c r="U13" s="8">
        <v>6.0</v>
      </c>
      <c r="V13" s="8">
        <v>7.0</v>
      </c>
      <c r="W13" s="8">
        <v>6.0</v>
      </c>
      <c r="X13" s="8">
        <v>5.0</v>
      </c>
      <c r="Y13" s="8">
        <v>5.0</v>
      </c>
      <c r="Z13" s="8">
        <v>2.0</v>
      </c>
      <c r="AA13" s="8">
        <v>5.0</v>
      </c>
      <c r="AB13" s="8">
        <v>5.0</v>
      </c>
      <c r="AC13" s="8">
        <v>5.0</v>
      </c>
      <c r="AD13" s="8">
        <v>5.0</v>
      </c>
      <c r="AE13" s="7" t="s">
        <v>136</v>
      </c>
      <c r="AF13" s="5" t="s">
        <v>137</v>
      </c>
      <c r="AG13" s="5" t="s">
        <v>138</v>
      </c>
      <c r="AH13" s="5" t="s">
        <v>43</v>
      </c>
      <c r="AI13" s="9" t="s">
        <v>139</v>
      </c>
      <c r="AJ13" s="5" t="s">
        <v>140</v>
      </c>
      <c r="AK13" s="10" t="s">
        <v>141</v>
      </c>
    </row>
    <row r="14">
      <c r="A14" s="5" t="s">
        <v>142</v>
      </c>
      <c r="B14" s="5" t="s">
        <v>143</v>
      </c>
      <c r="C14" s="5" t="s">
        <v>144</v>
      </c>
      <c r="D14" s="5" t="s">
        <v>39</v>
      </c>
      <c r="E14" s="5" t="s">
        <v>40</v>
      </c>
      <c r="F14" s="6">
        <v>2.0</v>
      </c>
      <c r="G14" s="7" t="s">
        <v>41</v>
      </c>
      <c r="H14" s="5" t="s">
        <v>41</v>
      </c>
      <c r="I14" s="5" t="s">
        <v>42</v>
      </c>
      <c r="J14" s="5" t="s">
        <v>52</v>
      </c>
      <c r="K14" s="5" t="s">
        <v>42</v>
      </c>
      <c r="L14" s="6">
        <v>3.0</v>
      </c>
      <c r="M14" s="8">
        <v>1.0</v>
      </c>
      <c r="N14" s="8">
        <v>4.0</v>
      </c>
      <c r="O14" s="8">
        <v>4.0</v>
      </c>
      <c r="P14" s="8">
        <v>4.0</v>
      </c>
      <c r="Q14" s="8">
        <v>2.0</v>
      </c>
      <c r="R14" s="8">
        <v>2.0</v>
      </c>
      <c r="S14" s="8">
        <v>1.0</v>
      </c>
      <c r="T14" s="8">
        <v>2.0</v>
      </c>
      <c r="U14" s="8">
        <v>1.0</v>
      </c>
      <c r="V14" s="8">
        <v>1.0</v>
      </c>
      <c r="W14" s="8">
        <v>2.0</v>
      </c>
      <c r="X14" s="8">
        <v>1.0</v>
      </c>
      <c r="Y14" s="8">
        <v>1.0</v>
      </c>
      <c r="Z14" s="8">
        <v>1.0</v>
      </c>
      <c r="AA14" s="8">
        <v>1.0</v>
      </c>
      <c r="AB14" s="8">
        <v>1.0</v>
      </c>
      <c r="AC14" s="8">
        <v>1.0</v>
      </c>
      <c r="AD14" s="8">
        <v>1.0</v>
      </c>
      <c r="AE14" s="7" t="s">
        <v>43</v>
      </c>
      <c r="AF14" s="11" t="s">
        <v>145</v>
      </c>
      <c r="AG14" s="5" t="s">
        <v>146</v>
      </c>
      <c r="AH14" s="5" t="s">
        <v>43</v>
      </c>
      <c r="AI14" s="9" t="s">
        <v>147</v>
      </c>
      <c r="AJ14" s="5" t="s">
        <v>74</v>
      </c>
      <c r="AK14" s="10"/>
    </row>
    <row r="15">
      <c r="A15" s="5" t="s">
        <v>148</v>
      </c>
      <c r="B15" s="5" t="s">
        <v>149</v>
      </c>
      <c r="C15" s="5" t="s">
        <v>150</v>
      </c>
      <c r="D15" s="5" t="s">
        <v>39</v>
      </c>
      <c r="E15" s="5" t="s">
        <v>40</v>
      </c>
      <c r="F15" s="6">
        <v>2.0</v>
      </c>
      <c r="G15" s="7" t="s">
        <v>41</v>
      </c>
      <c r="H15" s="5" t="s">
        <v>41</v>
      </c>
      <c r="I15" s="5" t="s">
        <v>42</v>
      </c>
      <c r="J15" s="5" t="s">
        <v>43</v>
      </c>
      <c r="K15" s="5" t="s">
        <v>41</v>
      </c>
      <c r="L15" s="6">
        <v>5.0</v>
      </c>
      <c r="M15" s="8">
        <v>5.0</v>
      </c>
      <c r="N15" s="8">
        <v>3.0</v>
      </c>
      <c r="O15" s="8">
        <v>5.0</v>
      </c>
      <c r="P15" s="8">
        <v>4.0</v>
      </c>
      <c r="Q15" s="8">
        <v>4.0</v>
      </c>
      <c r="R15" s="8">
        <v>4.0</v>
      </c>
      <c r="S15" s="8">
        <v>5.0</v>
      </c>
      <c r="T15" s="8">
        <v>5.0</v>
      </c>
      <c r="U15" s="8">
        <v>5.0</v>
      </c>
      <c r="V15" s="8">
        <v>3.0</v>
      </c>
      <c r="W15" s="8">
        <v>5.0</v>
      </c>
      <c r="X15" s="8">
        <v>5.0</v>
      </c>
      <c r="Y15" s="8">
        <v>4.0</v>
      </c>
      <c r="Z15" s="8">
        <v>2.0</v>
      </c>
      <c r="AA15" s="8">
        <v>6.0</v>
      </c>
      <c r="AB15" s="8">
        <v>2.0</v>
      </c>
      <c r="AC15" s="8">
        <v>5.0</v>
      </c>
      <c r="AD15" s="8">
        <v>3.0</v>
      </c>
      <c r="AE15" s="7" t="s">
        <v>151</v>
      </c>
      <c r="AF15" s="11" t="s">
        <v>152</v>
      </c>
      <c r="AG15" s="12"/>
      <c r="AH15" s="5" t="s">
        <v>43</v>
      </c>
      <c r="AI15" s="9" t="s">
        <v>153</v>
      </c>
      <c r="AJ15" s="5" t="s">
        <v>82</v>
      </c>
      <c r="AK15" s="10"/>
    </row>
    <row r="16">
      <c r="A16" s="5" t="s">
        <v>154</v>
      </c>
      <c r="B16" s="5" t="s">
        <v>155</v>
      </c>
      <c r="C16" s="5" t="s">
        <v>156</v>
      </c>
      <c r="D16" s="5" t="s">
        <v>39</v>
      </c>
      <c r="E16" s="5" t="s">
        <v>40</v>
      </c>
      <c r="F16" s="6">
        <v>4.0</v>
      </c>
      <c r="G16" s="7" t="s">
        <v>41</v>
      </c>
      <c r="H16" s="5" t="s">
        <v>41</v>
      </c>
      <c r="I16" s="5" t="s">
        <v>42</v>
      </c>
      <c r="J16" s="5" t="s">
        <v>43</v>
      </c>
      <c r="K16" s="5" t="s">
        <v>42</v>
      </c>
      <c r="L16" s="6">
        <v>3.0</v>
      </c>
      <c r="M16" s="8">
        <v>4.0</v>
      </c>
      <c r="N16" s="8">
        <v>4.0</v>
      </c>
      <c r="O16" s="8">
        <v>5.0</v>
      </c>
      <c r="P16" s="8">
        <v>6.0</v>
      </c>
      <c r="Q16" s="8">
        <v>3.0</v>
      </c>
      <c r="R16" s="8">
        <v>5.0</v>
      </c>
      <c r="S16" s="8">
        <v>5.0</v>
      </c>
      <c r="T16" s="8">
        <v>5.0</v>
      </c>
      <c r="U16" s="8">
        <v>5.0</v>
      </c>
      <c r="V16" s="8">
        <v>6.0</v>
      </c>
      <c r="W16" s="8">
        <v>5.0</v>
      </c>
      <c r="X16" s="8">
        <v>4.0</v>
      </c>
      <c r="Y16" s="8">
        <v>6.0</v>
      </c>
      <c r="Z16" s="8">
        <v>1.0</v>
      </c>
      <c r="AA16" s="8">
        <v>6.0</v>
      </c>
      <c r="AB16" s="8">
        <v>5.0</v>
      </c>
      <c r="AC16" s="8">
        <v>6.0</v>
      </c>
      <c r="AD16" s="8">
        <v>6.0</v>
      </c>
      <c r="AE16" s="7" t="s">
        <v>157</v>
      </c>
      <c r="AF16" s="5" t="s">
        <v>158</v>
      </c>
      <c r="AG16" s="11" t="s">
        <v>159</v>
      </c>
      <c r="AH16" s="5" t="s">
        <v>43</v>
      </c>
      <c r="AI16" s="9" t="s">
        <v>160</v>
      </c>
      <c r="AJ16" s="5" t="s">
        <v>91</v>
      </c>
      <c r="AK16" s="10"/>
    </row>
    <row r="17">
      <c r="A17" s="5" t="s">
        <v>161</v>
      </c>
      <c r="B17" s="5" t="s">
        <v>162</v>
      </c>
      <c r="C17" s="5" t="s">
        <v>163</v>
      </c>
      <c r="D17" s="5" t="s">
        <v>39</v>
      </c>
      <c r="E17" s="5" t="s">
        <v>40</v>
      </c>
      <c r="F17" s="6">
        <v>1.0</v>
      </c>
      <c r="G17" s="7" t="s">
        <v>41</v>
      </c>
      <c r="H17" s="5" t="s">
        <v>41</v>
      </c>
      <c r="I17" s="5" t="s">
        <v>42</v>
      </c>
      <c r="J17" s="5" t="s">
        <v>43</v>
      </c>
      <c r="K17" s="5" t="s">
        <v>42</v>
      </c>
      <c r="L17" s="6">
        <v>4.0</v>
      </c>
      <c r="M17" s="8">
        <v>4.0</v>
      </c>
      <c r="N17" s="8">
        <v>4.0</v>
      </c>
      <c r="O17" s="8">
        <v>5.0</v>
      </c>
      <c r="P17" s="8">
        <v>5.0</v>
      </c>
      <c r="Q17" s="8">
        <v>4.0</v>
      </c>
      <c r="R17" s="8">
        <v>4.0</v>
      </c>
      <c r="S17" s="8">
        <v>5.0</v>
      </c>
      <c r="T17" s="8">
        <v>5.0</v>
      </c>
      <c r="U17" s="8">
        <v>5.0</v>
      </c>
      <c r="V17" s="8">
        <v>5.0</v>
      </c>
      <c r="W17" s="8">
        <v>5.0</v>
      </c>
      <c r="X17" s="8">
        <v>4.0</v>
      </c>
      <c r="Y17" s="8">
        <v>4.0</v>
      </c>
      <c r="Z17" s="8">
        <v>3.0</v>
      </c>
      <c r="AA17" s="8">
        <v>7.0</v>
      </c>
      <c r="AB17" s="8">
        <v>5.0</v>
      </c>
      <c r="AC17" s="8">
        <v>3.0</v>
      </c>
      <c r="AD17" s="8">
        <v>4.0</v>
      </c>
      <c r="AE17" s="7" t="s">
        <v>164</v>
      </c>
      <c r="AF17" s="5" t="s">
        <v>165</v>
      </c>
      <c r="AH17" s="5" t="s">
        <v>43</v>
      </c>
      <c r="AI17" s="9" t="s">
        <v>166</v>
      </c>
      <c r="AJ17" s="5" t="s">
        <v>100</v>
      </c>
      <c r="AK17" s="10"/>
    </row>
    <row r="18">
      <c r="A18" s="5" t="s">
        <v>167</v>
      </c>
      <c r="B18" s="5" t="s">
        <v>168</v>
      </c>
      <c r="C18" s="5" t="s">
        <v>169</v>
      </c>
      <c r="D18" s="5" t="s">
        <v>39</v>
      </c>
      <c r="E18" s="5" t="s">
        <v>40</v>
      </c>
      <c r="F18" s="6">
        <v>2.0</v>
      </c>
      <c r="G18" s="7" t="s">
        <v>41</v>
      </c>
      <c r="H18" s="5" t="s">
        <v>41</v>
      </c>
      <c r="I18" s="5" t="s">
        <v>42</v>
      </c>
      <c r="J18" s="5" t="s">
        <v>52</v>
      </c>
      <c r="K18" s="5" t="s">
        <v>41</v>
      </c>
      <c r="L18" s="6">
        <v>2.0</v>
      </c>
      <c r="M18" s="8">
        <v>4.0</v>
      </c>
      <c r="N18" s="8">
        <v>2.0</v>
      </c>
      <c r="O18" s="8">
        <v>2.0</v>
      </c>
      <c r="P18" s="8">
        <v>3.0</v>
      </c>
      <c r="Q18" s="8">
        <v>2.0</v>
      </c>
      <c r="R18" s="8">
        <v>3.0</v>
      </c>
      <c r="S18" s="8">
        <v>4.0</v>
      </c>
      <c r="T18" s="8">
        <v>4.0</v>
      </c>
      <c r="U18" s="8">
        <v>6.0</v>
      </c>
      <c r="V18" s="8">
        <v>6.0</v>
      </c>
      <c r="W18" s="8">
        <v>5.0</v>
      </c>
      <c r="X18" s="8">
        <v>4.0</v>
      </c>
      <c r="Y18" s="8">
        <v>4.0</v>
      </c>
      <c r="Z18" s="8">
        <v>1.0</v>
      </c>
      <c r="AA18" s="8">
        <v>6.0</v>
      </c>
      <c r="AB18" s="8">
        <v>4.0</v>
      </c>
      <c r="AC18" s="8">
        <v>6.0</v>
      </c>
      <c r="AD18" s="8">
        <v>3.0</v>
      </c>
      <c r="AE18" s="7" t="s">
        <v>170</v>
      </c>
      <c r="AF18" s="5" t="s">
        <v>171</v>
      </c>
      <c r="AG18" s="5" t="s">
        <v>172</v>
      </c>
      <c r="AH18" s="5" t="s">
        <v>43</v>
      </c>
      <c r="AI18" s="9" t="s">
        <v>173</v>
      </c>
      <c r="AJ18" s="5" t="s">
        <v>109</v>
      </c>
      <c r="AK18" s="10"/>
    </row>
    <row r="19">
      <c r="A19" s="5" t="s">
        <v>174</v>
      </c>
      <c r="B19" s="5" t="s">
        <v>175</v>
      </c>
      <c r="C19" s="5" t="s">
        <v>176</v>
      </c>
      <c r="D19" s="5" t="s">
        <v>39</v>
      </c>
      <c r="E19" s="5" t="s">
        <v>40</v>
      </c>
      <c r="F19" s="6">
        <v>2.0</v>
      </c>
      <c r="G19" s="7" t="s">
        <v>41</v>
      </c>
      <c r="H19" s="5" t="s">
        <v>41</v>
      </c>
      <c r="I19" s="5" t="s">
        <v>42</v>
      </c>
      <c r="J19" s="5" t="s">
        <v>43</v>
      </c>
      <c r="K19" s="5" t="s">
        <v>42</v>
      </c>
      <c r="L19" s="6">
        <v>6.0</v>
      </c>
      <c r="M19" s="8">
        <v>6.0</v>
      </c>
      <c r="N19" s="8">
        <v>7.0</v>
      </c>
      <c r="O19" s="8">
        <v>7.0</v>
      </c>
      <c r="P19" s="8">
        <v>6.0</v>
      </c>
      <c r="Q19" s="8">
        <v>6.0</v>
      </c>
      <c r="R19" s="8">
        <v>4.0</v>
      </c>
      <c r="S19" s="8">
        <v>6.0</v>
      </c>
      <c r="T19" s="8">
        <v>5.0</v>
      </c>
      <c r="U19" s="8">
        <v>5.0</v>
      </c>
      <c r="V19" s="8">
        <v>6.0</v>
      </c>
      <c r="W19" s="8">
        <v>7.0</v>
      </c>
      <c r="X19" s="8">
        <v>7.0</v>
      </c>
      <c r="Y19" s="8">
        <v>7.0</v>
      </c>
      <c r="Z19" s="8">
        <v>5.0</v>
      </c>
      <c r="AA19" s="8">
        <v>6.0</v>
      </c>
      <c r="AB19" s="8">
        <v>6.0</v>
      </c>
      <c r="AC19" s="8">
        <v>7.0</v>
      </c>
      <c r="AD19" s="8">
        <v>6.0</v>
      </c>
      <c r="AE19" s="7" t="s">
        <v>177</v>
      </c>
      <c r="AF19" s="5" t="s">
        <v>178</v>
      </c>
      <c r="AG19" s="5" t="s">
        <v>179</v>
      </c>
      <c r="AH19" s="5" t="s">
        <v>43</v>
      </c>
      <c r="AI19" s="9" t="s">
        <v>180</v>
      </c>
      <c r="AJ19" s="5" t="s">
        <v>117</v>
      </c>
      <c r="AK19" s="10"/>
    </row>
    <row r="20">
      <c r="A20" s="5" t="s">
        <v>181</v>
      </c>
      <c r="B20" s="5" t="s">
        <v>182</v>
      </c>
      <c r="C20" s="5" t="s">
        <v>183</v>
      </c>
      <c r="D20" s="5" t="s">
        <v>39</v>
      </c>
      <c r="E20" s="5" t="s">
        <v>40</v>
      </c>
      <c r="F20" s="6">
        <v>1.0</v>
      </c>
      <c r="G20" s="7" t="s">
        <v>41</v>
      </c>
      <c r="H20" s="5" t="s">
        <v>42</v>
      </c>
      <c r="I20" s="5" t="s">
        <v>42</v>
      </c>
      <c r="J20" s="5" t="s">
        <v>52</v>
      </c>
      <c r="K20" s="5" t="s">
        <v>41</v>
      </c>
      <c r="L20" s="6">
        <v>5.0</v>
      </c>
      <c r="M20" s="8">
        <v>5.0</v>
      </c>
      <c r="N20" s="8">
        <v>5.0</v>
      </c>
      <c r="O20" s="8">
        <v>5.0</v>
      </c>
      <c r="P20" s="8">
        <v>5.0</v>
      </c>
      <c r="Q20" s="8">
        <v>5.0</v>
      </c>
      <c r="R20" s="8">
        <v>5.0</v>
      </c>
      <c r="S20" s="8">
        <v>5.0</v>
      </c>
      <c r="T20" s="8">
        <v>5.0</v>
      </c>
      <c r="U20" s="8">
        <v>5.0</v>
      </c>
      <c r="V20" s="8">
        <v>5.0</v>
      </c>
      <c r="W20" s="8">
        <v>5.0</v>
      </c>
      <c r="X20" s="8">
        <v>5.0</v>
      </c>
      <c r="Y20" s="8">
        <v>5.0</v>
      </c>
      <c r="Z20" s="8">
        <v>2.0</v>
      </c>
      <c r="AA20" s="8">
        <v>6.0</v>
      </c>
      <c r="AB20" s="8">
        <v>6.0</v>
      </c>
      <c r="AC20" s="8">
        <v>6.0</v>
      </c>
      <c r="AD20" s="8">
        <v>6.0</v>
      </c>
      <c r="AE20" s="7" t="s">
        <v>184</v>
      </c>
      <c r="AF20" s="5" t="s">
        <v>185</v>
      </c>
      <c r="AH20" s="5" t="s">
        <v>43</v>
      </c>
      <c r="AI20" s="9" t="s">
        <v>186</v>
      </c>
      <c r="AJ20" s="5" t="s">
        <v>125</v>
      </c>
      <c r="AK20" s="10"/>
    </row>
    <row r="21">
      <c r="A21" s="5" t="s">
        <v>187</v>
      </c>
      <c r="B21" s="5" t="s">
        <v>188</v>
      </c>
      <c r="C21" s="5" t="s">
        <v>189</v>
      </c>
      <c r="D21" s="5" t="s">
        <v>39</v>
      </c>
      <c r="E21" s="5" t="s">
        <v>40</v>
      </c>
      <c r="F21" s="6">
        <v>1.0</v>
      </c>
      <c r="G21" s="7" t="s">
        <v>41</v>
      </c>
      <c r="H21" s="5" t="s">
        <v>41</v>
      </c>
      <c r="I21" s="5" t="s">
        <v>41</v>
      </c>
      <c r="J21" s="5" t="s">
        <v>52</v>
      </c>
      <c r="K21" s="5" t="s">
        <v>42</v>
      </c>
      <c r="L21" s="6">
        <v>7.0</v>
      </c>
      <c r="M21" s="8">
        <v>6.0</v>
      </c>
      <c r="N21" s="8">
        <v>6.0</v>
      </c>
      <c r="O21" s="8">
        <v>4.0</v>
      </c>
      <c r="P21" s="8">
        <v>7.0</v>
      </c>
      <c r="Q21" s="8">
        <v>5.0</v>
      </c>
      <c r="R21" s="8">
        <v>6.0</v>
      </c>
      <c r="S21" s="8">
        <v>5.0</v>
      </c>
      <c r="T21" s="8">
        <v>6.0</v>
      </c>
      <c r="U21" s="8">
        <v>6.0</v>
      </c>
      <c r="V21" s="8">
        <v>5.0</v>
      </c>
      <c r="W21" s="8">
        <v>6.0</v>
      </c>
      <c r="X21" s="8">
        <v>6.0</v>
      </c>
      <c r="Y21" s="8">
        <v>6.0</v>
      </c>
      <c r="Z21" s="8">
        <v>4.0</v>
      </c>
      <c r="AA21" s="8">
        <v>7.0</v>
      </c>
      <c r="AB21" s="8">
        <v>6.0</v>
      </c>
      <c r="AC21" s="8">
        <v>7.0</v>
      </c>
      <c r="AD21" s="8">
        <v>6.0</v>
      </c>
      <c r="AE21" s="7" t="s">
        <v>190</v>
      </c>
      <c r="AF21" s="5" t="s">
        <v>191</v>
      </c>
      <c r="AG21" s="5" t="s">
        <v>192</v>
      </c>
      <c r="AH21" s="5" t="s">
        <v>43</v>
      </c>
      <c r="AI21" s="9" t="s">
        <v>193</v>
      </c>
      <c r="AJ21" s="5" t="s">
        <v>132</v>
      </c>
      <c r="AK21" s="10"/>
    </row>
    <row r="22">
      <c r="A22" s="5" t="s">
        <v>194</v>
      </c>
      <c r="B22" s="5" t="s">
        <v>195</v>
      </c>
      <c r="C22" s="5" t="s">
        <v>196</v>
      </c>
      <c r="D22" s="5" t="s">
        <v>39</v>
      </c>
      <c r="E22" s="5" t="s">
        <v>40</v>
      </c>
      <c r="F22" s="6">
        <v>1.0</v>
      </c>
      <c r="G22" s="7" t="s">
        <v>41</v>
      </c>
      <c r="H22" s="5" t="s">
        <v>42</v>
      </c>
      <c r="I22" s="5" t="s">
        <v>42</v>
      </c>
      <c r="J22" s="5" t="s">
        <v>52</v>
      </c>
      <c r="K22" s="5" t="s">
        <v>60</v>
      </c>
      <c r="L22" s="6">
        <v>5.0</v>
      </c>
      <c r="M22" s="8">
        <v>4.0</v>
      </c>
      <c r="N22" s="8">
        <v>4.0</v>
      </c>
      <c r="O22" s="8">
        <v>6.0</v>
      </c>
      <c r="P22" s="8">
        <v>5.0</v>
      </c>
      <c r="Q22" s="8">
        <v>4.0</v>
      </c>
      <c r="R22" s="8">
        <v>6.0</v>
      </c>
      <c r="S22" s="8">
        <v>7.0</v>
      </c>
      <c r="T22" s="8">
        <v>5.0</v>
      </c>
      <c r="U22" s="8">
        <v>5.0</v>
      </c>
      <c r="V22" s="8">
        <v>6.0</v>
      </c>
      <c r="W22" s="8">
        <v>6.0</v>
      </c>
      <c r="X22" s="8">
        <v>3.0</v>
      </c>
      <c r="Y22" s="8">
        <v>6.0</v>
      </c>
      <c r="Z22" s="8">
        <v>3.0</v>
      </c>
      <c r="AA22" s="8">
        <v>6.0</v>
      </c>
      <c r="AB22" s="8">
        <v>5.0</v>
      </c>
      <c r="AC22" s="8">
        <v>6.0</v>
      </c>
      <c r="AD22" s="8">
        <v>6.0</v>
      </c>
      <c r="AE22" s="7" t="s">
        <v>197</v>
      </c>
      <c r="AF22" s="5" t="s">
        <v>198</v>
      </c>
      <c r="AH22" s="5" t="s">
        <v>43</v>
      </c>
      <c r="AI22" s="9" t="s">
        <v>199</v>
      </c>
      <c r="AJ22" s="5" t="s">
        <v>141</v>
      </c>
      <c r="AK22" s="10"/>
    </row>
  </sheetData>
  <mergeCells count="8">
    <mergeCell ref="AF3:AG3"/>
    <mergeCell ref="AF5:AG5"/>
    <mergeCell ref="AF6:AG6"/>
    <mergeCell ref="AF11:AG11"/>
    <mergeCell ref="AF12:AG12"/>
    <mergeCell ref="AF17:AG17"/>
    <mergeCell ref="AF20:AG20"/>
    <mergeCell ref="AF22:AG22"/>
  </mergeCells>
  <hyperlinks>
    <hyperlink r:id="rId1" ref="AI2"/>
    <hyperlink r:id="rId2" ref="AI3"/>
    <hyperlink r:id="rId3" ref="AI4"/>
    <hyperlink r:id="rId4" ref="AI5"/>
    <hyperlink r:id="rId5" ref="AI6"/>
    <hyperlink r:id="rId6" ref="AI7"/>
    <hyperlink r:id="rId7" ref="AI8"/>
    <hyperlink r:id="rId8" ref="AI9"/>
    <hyperlink r:id="rId9" ref="AI10"/>
    <hyperlink r:id="rId10" ref="AI11"/>
    <hyperlink r:id="rId11" ref="AI12"/>
    <hyperlink r:id="rId12" ref="AI13"/>
    <hyperlink r:id="rId13" ref="AI14"/>
    <hyperlink r:id="rId14" ref="AI15"/>
    <hyperlink r:id="rId15" ref="AI16"/>
    <hyperlink r:id="rId16" ref="AI17"/>
    <hyperlink r:id="rId17" ref="AI18"/>
    <hyperlink r:id="rId18" ref="AI19"/>
    <hyperlink r:id="rId19" ref="AI20"/>
    <hyperlink r:id="rId20" ref="AI21"/>
    <hyperlink r:id="rId21" ref="AI22"/>
  </hyperlinks>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200</v>
      </c>
      <c r="B1" s="3"/>
      <c r="D1" s="3" t="s">
        <v>201</v>
      </c>
      <c r="E1" s="3"/>
      <c r="G1" s="3" t="s">
        <v>202</v>
      </c>
      <c r="H1" s="3"/>
      <c r="J1" s="3" t="s">
        <v>203</v>
      </c>
      <c r="K1" s="3"/>
      <c r="M1" s="3" t="s">
        <v>204</v>
      </c>
    </row>
    <row r="2">
      <c r="A2" s="3" t="s">
        <v>205</v>
      </c>
      <c r="B2" s="3" t="s">
        <v>206</v>
      </c>
      <c r="D2" s="3" t="s">
        <v>205</v>
      </c>
      <c r="E2" s="3" t="s">
        <v>206</v>
      </c>
      <c r="G2" s="3" t="s">
        <v>205</v>
      </c>
      <c r="H2" s="3" t="s">
        <v>206</v>
      </c>
      <c r="J2" s="3" t="s">
        <v>205</v>
      </c>
      <c r="K2" s="3" t="s">
        <v>206</v>
      </c>
      <c r="M2" s="3" t="s">
        <v>205</v>
      </c>
      <c r="N2" s="3" t="s">
        <v>206</v>
      </c>
    </row>
    <row r="3">
      <c r="A3" s="13" t="str">
        <f>IFERROR(__xludf.DUMMYFUNCTION("ARRAYFORMULA(
  QUERY(
    {
      FLATTEN(IF(Results!L2:Q22&lt;&gt;"""", Results!L1:Q1, )),
      FLATTEN(Results!L2:Q22)
    },
    ""where Col2 is not null"",
    0
  )
)
"),"Learning to apply the SRA would be easy for me.")</f>
        <v>Learning to apply the SRA would be easy for me.</v>
      </c>
      <c r="B3" s="14">
        <f>IFERROR(__xludf.DUMMYFUNCTION("""COMPUTED_VALUE"""),5.0)</f>
        <v>5</v>
      </c>
      <c r="D3" s="13" t="str">
        <f>IFERROR(__xludf.DUMMYFUNCTION("ARRAYFORMULA(
  QUERY(
    {
      FLATTEN(IF(Results!R2:W22&lt;&gt;"""", Results!R1:W1, )),
      FLATTEN(Results!R2:W22)
    },
    ""where Col2 is not null"",
    0
  )
)
"),"Using the SRA for developing a new NLP4RE tool would enable me to accomplish tasks more quickly.")</f>
        <v>Using the SRA for developing a new NLP4RE tool would enable me to accomplish tasks more quickly.</v>
      </c>
      <c r="E3" s="14">
        <f>IFERROR(__xludf.DUMMYFUNCTION("""COMPUTED_VALUE"""),6.0)</f>
        <v>6</v>
      </c>
      <c r="G3" s="13" t="str">
        <f>IFERROR(__xludf.DUMMYFUNCTION("ARRAYFORMULA(
  QUERY(
    {
      FLATTEN(IF(Results!X2:Z22&lt;&gt;"""", Results!X1:Z1, )),
      FLATTEN(Results!X2:Z22)
    },
    ""where Col2 is not null"",
    0
  )
)
"),"I intend to use the SRA when developing an NLP4RE tool in the future.")</f>
        <v>I intend to use the SRA when developing an NLP4RE tool in the future.</v>
      </c>
      <c r="H3" s="14">
        <f>IFERROR(__xludf.DUMMYFUNCTION("""COMPUTED_VALUE"""),4.0)</f>
        <v>4</v>
      </c>
      <c r="J3" s="13" t="str">
        <f>IFERROR(__xludf.DUMMYFUNCTION("ARRAYFORMULA(
  QUERY(
    {
      FLATTEN(IF(Results!AA2:AD22&lt;&gt;"""", Results!AA1:AD1, )),
      FLATTEN(Results!AA2:AD22)
    },
    ""where Col2 is not null"",
    0
  )
)
"),"It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3" s="14">
        <f>IFERROR(__xludf.DUMMYFUNCTION("""COMPUTED_VALUE"""),7.0)</f>
        <v>7</v>
      </c>
      <c r="M3" s="13" t="str">
        <f>IFERROR(__xludf.DUMMYFUNCTION("ARRAYFORMULA(
  QUERY(
    {
      FLATTEN(IF(Results!G2:G22&lt;&gt;"""", Results!G1, )),
      FLATTEN(Results!G2:G22)
    },
    ""where Col2 is not null"",
    0
  )
)
"),"Have you been involved in the design of an NLP4RE tool?")</f>
        <v>Have you been involved in the design of an NLP4RE tool?</v>
      </c>
      <c r="N3" s="13" t="str">
        <f>IFERROR(__xludf.DUMMYFUNCTION("""COMPUTED_VALUE"""),"Yes")</f>
        <v>Yes</v>
      </c>
    </row>
    <row r="4">
      <c r="A4" s="13" t="str">
        <f>IFERROR(__xludf.DUMMYFUNCTION("""COMPUTED_VALUE"""),"I would find it easy to get the information I need out of the SRA.")</f>
        <v>I would find it easy to get the information I need out of the SRA.</v>
      </c>
      <c r="B4" s="14">
        <f>IFERROR(__xludf.DUMMYFUNCTION("""COMPUTED_VALUE"""),4.0)</f>
        <v>4</v>
      </c>
      <c r="D4" s="13" t="str">
        <f>IFERROR(__xludf.DUMMYFUNCTION("""COMPUTED_VALUE"""),"Using the SRA would improve my performance when developing an NLP4RE tool.")</f>
        <v>Using the SRA would improve my performance when developing an NLP4RE tool.</v>
      </c>
      <c r="E4" s="14">
        <f>IFERROR(__xludf.DUMMYFUNCTION("""COMPUTED_VALUE"""),5.0)</f>
        <v>5</v>
      </c>
      <c r="G4" s="13" t="str">
        <f>IFERROR(__xludf.DUMMYFUNCTION("""COMPUTED_VALUE"""),"I intend to recommend colleagues, students, or others to use the SRA when developing a new NLP4RE tool.")</f>
        <v>I intend to recommend colleagues, students, or others to use the SRA when developing a new NLP4RE tool.</v>
      </c>
      <c r="H4" s="14">
        <f>IFERROR(__xludf.DUMMYFUNCTION("""COMPUTED_VALUE"""),4.0)</f>
        <v>4</v>
      </c>
      <c r="J4"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4" s="14">
        <f>IFERROR(__xludf.DUMMYFUNCTION("""COMPUTED_VALUE"""),7.0)</f>
        <v>7</v>
      </c>
      <c r="M4" s="13" t="str">
        <f>IFERROR(__xludf.DUMMYFUNCTION("""COMPUTED_VALUE"""),"Have you been involved in the design of an NLP4RE tool?")</f>
        <v>Have you been involved in the design of an NLP4RE tool?</v>
      </c>
      <c r="N4" s="13" t="str">
        <f>IFERROR(__xludf.DUMMYFUNCTION("""COMPUTED_VALUE"""),"Yes")</f>
        <v>Yes</v>
      </c>
    </row>
    <row r="5">
      <c r="A5" s="13" t="str">
        <f>IFERROR(__xludf.DUMMYFUNCTION("""COMPUTED_VALUE"""),"My interaction with the SRA would be clear and understandable.")</f>
        <v>My interaction with the SRA would be clear and understandable.</v>
      </c>
      <c r="B5" s="14">
        <f>IFERROR(__xludf.DUMMYFUNCTION("""COMPUTED_VALUE"""),6.0)</f>
        <v>6</v>
      </c>
      <c r="D5" s="13" t="str">
        <f>IFERROR(__xludf.DUMMYFUNCTION("""COMPUTED_VALUE"""),"Using the SRA when developing a new NLP4RE tool would increase my productivity.")</f>
        <v>Using the SRA when developing a new NLP4RE tool would increase my productivity.</v>
      </c>
      <c r="E5" s="14">
        <f>IFERROR(__xludf.DUMMYFUNCTION("""COMPUTED_VALUE"""),5.0)</f>
        <v>5</v>
      </c>
      <c r="G5" s="13" t="str">
        <f>IFERROR(__xludf.DUMMYFUNCTION("""COMPUTED_VALUE"""),"I intend to re-implement an existing NLP4RE tool using the SRA.")</f>
        <v>I intend to re-implement an existing NLP4RE tool using the SRA.</v>
      </c>
      <c r="H5" s="14">
        <f>IFERROR(__xludf.DUMMYFUNCTION("""COMPUTED_VALUE"""),5.0)</f>
        <v>5</v>
      </c>
      <c r="J5"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5" s="14">
        <f>IFERROR(__xludf.DUMMYFUNCTION("""COMPUTED_VALUE"""),7.0)</f>
        <v>7</v>
      </c>
      <c r="M5" s="13" t="str">
        <f>IFERROR(__xludf.DUMMYFUNCTION("""COMPUTED_VALUE"""),"Have you been involved in the design of an NLP4RE tool?")</f>
        <v>Have you been involved in the design of an NLP4RE tool?</v>
      </c>
      <c r="N5" s="13" t="str">
        <f>IFERROR(__xludf.DUMMYFUNCTION("""COMPUTED_VALUE"""),"Yes")</f>
        <v>Yes</v>
      </c>
    </row>
    <row r="6">
      <c r="A6" s="13" t="str">
        <f>IFERROR(__xludf.DUMMYFUNCTION("""COMPUTED_VALUE"""),"I would find SRA to be flexible to interact with.")</f>
        <v>I would find SRA to be flexible to interact with.</v>
      </c>
      <c r="B6" s="14">
        <f>IFERROR(__xludf.DUMMYFUNCTION("""COMPUTED_VALUE"""),6.0)</f>
        <v>6</v>
      </c>
      <c r="D6" s="13" t="str">
        <f>IFERROR(__xludf.DUMMYFUNCTION("""COMPUTED_VALUE"""),"Using the SRA would enhance my effectiveness when developing a new NLP4RE tool.")</f>
        <v>Using the SRA would enhance my effectiveness when developing a new NLP4RE tool.</v>
      </c>
      <c r="E6" s="14">
        <f>IFERROR(__xludf.DUMMYFUNCTION("""COMPUTED_VALUE"""),5.0)</f>
        <v>5</v>
      </c>
      <c r="G6" s="13" t="str">
        <f>IFERROR(__xludf.DUMMYFUNCTION("""COMPUTED_VALUE"""),"I intend to use the SRA when developing an NLP4RE tool in the future.")</f>
        <v>I intend to use the SRA when developing an NLP4RE tool in the future.</v>
      </c>
      <c r="H6" s="14">
        <f>IFERROR(__xludf.DUMMYFUNCTION("""COMPUTED_VALUE"""),6.0)</f>
        <v>6</v>
      </c>
      <c r="J6"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6" s="14">
        <f>IFERROR(__xludf.DUMMYFUNCTION("""COMPUTED_VALUE"""),7.0)</f>
        <v>7</v>
      </c>
      <c r="M6" s="13" t="str">
        <f>IFERROR(__xludf.DUMMYFUNCTION("""COMPUTED_VALUE"""),"Have you been involved in the design of an NLP4RE tool?")</f>
        <v>Have you been involved in the design of an NLP4RE tool?</v>
      </c>
      <c r="N6" s="13" t="str">
        <f>IFERROR(__xludf.DUMMYFUNCTION("""COMPUTED_VALUE"""),"Yes")</f>
        <v>Yes</v>
      </c>
    </row>
    <row r="7">
      <c r="A7" s="13" t="str">
        <f>IFERROR(__xludf.DUMMYFUNCTION("""COMPUTED_VALUE"""),"It would be easy for me to become skillful at using the SRA.")</f>
        <v>It would be easy for me to become skillful at using the SRA.</v>
      </c>
      <c r="B7" s="14">
        <f>IFERROR(__xludf.DUMMYFUNCTION("""COMPUTED_VALUE"""),6.0)</f>
        <v>6</v>
      </c>
      <c r="D7" s="13" t="str">
        <f>IFERROR(__xludf.DUMMYFUNCTION("""COMPUTED_VALUE"""),"Using the SRA would make it easier to develop a new NLP4RE tool.")</f>
        <v>Using the SRA would make it easier to develop a new NLP4RE tool.</v>
      </c>
      <c r="E7" s="14">
        <f>IFERROR(__xludf.DUMMYFUNCTION("""COMPUTED_VALUE"""),5.0)</f>
        <v>5</v>
      </c>
      <c r="G7" s="13" t="str">
        <f>IFERROR(__xludf.DUMMYFUNCTION("""COMPUTED_VALUE"""),"I intend to recommend colleagues, students, or others to use the SRA when developing a new NLP4RE tool.")</f>
        <v>I intend to recommend colleagues, students, or others to use the SRA when developing a new NLP4RE tool.</v>
      </c>
      <c r="H7" s="14">
        <f>IFERROR(__xludf.DUMMYFUNCTION("""COMPUTED_VALUE"""),6.0)</f>
        <v>6</v>
      </c>
      <c r="J7"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7" s="14">
        <f>IFERROR(__xludf.DUMMYFUNCTION("""COMPUTED_VALUE"""),4.0)</f>
        <v>4</v>
      </c>
      <c r="M7" s="13" t="str">
        <f>IFERROR(__xludf.DUMMYFUNCTION("""COMPUTED_VALUE"""),"Have you been involved in the design of an NLP4RE tool?")</f>
        <v>Have you been involved in the design of an NLP4RE tool?</v>
      </c>
      <c r="N7" s="13" t="str">
        <f>IFERROR(__xludf.DUMMYFUNCTION("""COMPUTED_VALUE"""),"Yes")</f>
        <v>Yes</v>
      </c>
    </row>
    <row r="8">
      <c r="A8" s="13" t="str">
        <f>IFERROR(__xludf.DUMMYFUNCTION("""COMPUTED_VALUE"""),"I would find the SRA easy to use.")</f>
        <v>I would find the SRA easy to use.</v>
      </c>
      <c r="B8" s="14">
        <f>IFERROR(__xludf.DUMMYFUNCTION("""COMPUTED_VALUE"""),6.0)</f>
        <v>6</v>
      </c>
      <c r="D8" s="13" t="str">
        <f>IFERROR(__xludf.DUMMYFUNCTION("""COMPUTED_VALUE"""),"I would find the SRA useful for developing a new NLP4RE tool.")</f>
        <v>I would find the SRA useful for developing a new NLP4RE tool.</v>
      </c>
      <c r="E8" s="14">
        <f>IFERROR(__xludf.DUMMYFUNCTION("""COMPUTED_VALUE"""),6.0)</f>
        <v>6</v>
      </c>
      <c r="G8" s="13" t="str">
        <f>IFERROR(__xludf.DUMMYFUNCTION("""COMPUTED_VALUE"""),"I intend to re-implement an existing NLP4RE tool using the SRA.")</f>
        <v>I intend to re-implement an existing NLP4RE tool using the SRA.</v>
      </c>
      <c r="H8" s="14">
        <f>IFERROR(__xludf.DUMMYFUNCTION("""COMPUTED_VALUE"""),5.0)</f>
        <v>5</v>
      </c>
      <c r="J8"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8" s="14">
        <f>IFERROR(__xludf.DUMMYFUNCTION("""COMPUTED_VALUE"""),4.0)</f>
        <v>4</v>
      </c>
      <c r="M8" s="13" t="str">
        <f>IFERROR(__xludf.DUMMYFUNCTION("""COMPUTED_VALUE"""),"Have you been involved in the design of an NLP4RE tool?")</f>
        <v>Have you been involved in the design of an NLP4RE tool?</v>
      </c>
      <c r="N8" s="13" t="str">
        <f>IFERROR(__xludf.DUMMYFUNCTION("""COMPUTED_VALUE"""),"Yes")</f>
        <v>Yes</v>
      </c>
    </row>
    <row r="9">
      <c r="A9" s="13" t="str">
        <f>IFERROR(__xludf.DUMMYFUNCTION("""COMPUTED_VALUE"""),"Learning to apply the SRA would be easy for me.")</f>
        <v>Learning to apply the SRA would be easy for me.</v>
      </c>
      <c r="B9" s="14">
        <f>IFERROR(__xludf.DUMMYFUNCTION("""COMPUTED_VALUE"""),4.0)</f>
        <v>4</v>
      </c>
      <c r="D9" s="13" t="str">
        <f>IFERROR(__xludf.DUMMYFUNCTION("""COMPUTED_VALUE"""),"Using the SRA for developing a new NLP4RE tool would enable me to accomplish tasks more quickly.")</f>
        <v>Using the SRA for developing a new NLP4RE tool would enable me to accomplish tasks more quickly.</v>
      </c>
      <c r="E9" s="14">
        <f>IFERROR(__xludf.DUMMYFUNCTION("""COMPUTED_VALUE"""),6.0)</f>
        <v>6</v>
      </c>
      <c r="G9" s="13" t="str">
        <f>IFERROR(__xludf.DUMMYFUNCTION("""COMPUTED_VALUE"""),"I intend to use the SRA when developing an NLP4RE tool in the future.")</f>
        <v>I intend to use the SRA when developing an NLP4RE tool in the future.</v>
      </c>
      <c r="H9" s="14">
        <f>IFERROR(__xludf.DUMMYFUNCTION("""COMPUTED_VALUE"""),5.0)</f>
        <v>5</v>
      </c>
      <c r="J9"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9" s="14">
        <f>IFERROR(__xludf.DUMMYFUNCTION("""COMPUTED_VALUE"""),6.0)</f>
        <v>6</v>
      </c>
      <c r="M9" s="13" t="str">
        <f>IFERROR(__xludf.DUMMYFUNCTION("""COMPUTED_VALUE"""),"Have you been involved in the design of an NLP4RE tool?")</f>
        <v>Have you been involved in the design of an NLP4RE tool?</v>
      </c>
      <c r="N9" s="13" t="str">
        <f>IFERROR(__xludf.DUMMYFUNCTION("""COMPUTED_VALUE"""),"Yes")</f>
        <v>Yes</v>
      </c>
    </row>
    <row r="10">
      <c r="A10" s="13" t="str">
        <f>IFERROR(__xludf.DUMMYFUNCTION("""COMPUTED_VALUE"""),"I would find it easy to get the information I need out of the SRA.")</f>
        <v>I would find it easy to get the information I need out of the SRA.</v>
      </c>
      <c r="B10" s="14">
        <f>IFERROR(__xludf.DUMMYFUNCTION("""COMPUTED_VALUE"""),6.0)</f>
        <v>6</v>
      </c>
      <c r="D10" s="13" t="str">
        <f>IFERROR(__xludf.DUMMYFUNCTION("""COMPUTED_VALUE"""),"Using the SRA would improve my performance when developing an NLP4RE tool.")</f>
        <v>Using the SRA would improve my performance when developing an NLP4RE tool.</v>
      </c>
      <c r="E10" s="14">
        <f>IFERROR(__xludf.DUMMYFUNCTION("""COMPUTED_VALUE"""),6.0)</f>
        <v>6</v>
      </c>
      <c r="G10" s="13" t="str">
        <f>IFERROR(__xludf.DUMMYFUNCTION("""COMPUTED_VALUE"""),"I intend to recommend colleagues, students, or others to use the SRA when developing a new NLP4RE tool.")</f>
        <v>I intend to recommend colleagues, students, or others to use the SRA when developing a new NLP4RE tool.</v>
      </c>
      <c r="H10" s="14">
        <f>IFERROR(__xludf.DUMMYFUNCTION("""COMPUTED_VALUE"""),4.0)</f>
        <v>4</v>
      </c>
      <c r="J10"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10" s="14">
        <f>IFERROR(__xludf.DUMMYFUNCTION("""COMPUTED_VALUE"""),5.0)</f>
        <v>5</v>
      </c>
      <c r="M10" s="13" t="str">
        <f>IFERROR(__xludf.DUMMYFUNCTION("""COMPUTED_VALUE"""),"Have you been involved in the design of an NLP4RE tool?")</f>
        <v>Have you been involved in the design of an NLP4RE tool?</v>
      </c>
      <c r="N10" s="13" t="str">
        <f>IFERROR(__xludf.DUMMYFUNCTION("""COMPUTED_VALUE"""),"Yes")</f>
        <v>Yes</v>
      </c>
    </row>
    <row r="11">
      <c r="A11" s="13" t="str">
        <f>IFERROR(__xludf.DUMMYFUNCTION("""COMPUTED_VALUE"""),"My interaction with the SRA would be clear and understandable.")</f>
        <v>My interaction with the SRA would be clear and understandable.</v>
      </c>
      <c r="B11" s="14">
        <f>IFERROR(__xludf.DUMMYFUNCTION("""COMPUTED_VALUE"""),6.0)</f>
        <v>6</v>
      </c>
      <c r="D11" s="13" t="str">
        <f>IFERROR(__xludf.DUMMYFUNCTION("""COMPUTED_VALUE"""),"Using the SRA when developing a new NLP4RE tool would increase my productivity.")</f>
        <v>Using the SRA when developing a new NLP4RE tool would increase my productivity.</v>
      </c>
      <c r="E11" s="14">
        <f>IFERROR(__xludf.DUMMYFUNCTION("""COMPUTED_VALUE"""),6.0)</f>
        <v>6</v>
      </c>
      <c r="G11" s="13" t="str">
        <f>IFERROR(__xludf.DUMMYFUNCTION("""COMPUTED_VALUE"""),"I intend to re-implement an existing NLP4RE tool using the SRA.")</f>
        <v>I intend to re-implement an existing NLP4RE tool using the SRA.</v>
      </c>
      <c r="H11" s="14">
        <f>IFERROR(__xludf.DUMMYFUNCTION("""COMPUTED_VALUE"""),4.0)</f>
        <v>4</v>
      </c>
      <c r="J11"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11" s="14">
        <f>IFERROR(__xludf.DUMMYFUNCTION("""COMPUTED_VALUE"""),5.0)</f>
        <v>5</v>
      </c>
      <c r="M11" s="13" t="str">
        <f>IFERROR(__xludf.DUMMYFUNCTION("""COMPUTED_VALUE"""),"Have you been involved in the design of an NLP4RE tool?")</f>
        <v>Have you been involved in the design of an NLP4RE tool?</v>
      </c>
      <c r="N11" s="13" t="str">
        <f>IFERROR(__xludf.DUMMYFUNCTION("""COMPUTED_VALUE"""),"Yes")</f>
        <v>Yes</v>
      </c>
    </row>
    <row r="12">
      <c r="A12" s="13" t="str">
        <f>IFERROR(__xludf.DUMMYFUNCTION("""COMPUTED_VALUE"""),"I would find SRA to be flexible to interact with.")</f>
        <v>I would find SRA to be flexible to interact with.</v>
      </c>
      <c r="B12" s="14">
        <f>IFERROR(__xludf.DUMMYFUNCTION("""COMPUTED_VALUE"""),6.0)</f>
        <v>6</v>
      </c>
      <c r="D12" s="13" t="str">
        <f>IFERROR(__xludf.DUMMYFUNCTION("""COMPUTED_VALUE"""),"Using the SRA would enhance my effectiveness when developing a new NLP4RE tool.")</f>
        <v>Using the SRA would enhance my effectiveness when developing a new NLP4RE tool.</v>
      </c>
      <c r="E12" s="14">
        <f>IFERROR(__xludf.DUMMYFUNCTION("""COMPUTED_VALUE"""),6.0)</f>
        <v>6</v>
      </c>
      <c r="G12" s="13" t="str">
        <f>IFERROR(__xludf.DUMMYFUNCTION("""COMPUTED_VALUE"""),"I intend to use the SRA when developing an NLP4RE tool in the future.")</f>
        <v>I intend to use the SRA when developing an NLP4RE tool in the future.</v>
      </c>
      <c r="H12" s="14">
        <f>IFERROR(__xludf.DUMMYFUNCTION("""COMPUTED_VALUE"""),5.0)</f>
        <v>5</v>
      </c>
      <c r="J12"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12" s="14">
        <f>IFERROR(__xludf.DUMMYFUNCTION("""COMPUTED_VALUE"""),4.0)</f>
        <v>4</v>
      </c>
      <c r="M12" s="13" t="str">
        <f>IFERROR(__xludf.DUMMYFUNCTION("""COMPUTED_VALUE"""),"Have you been involved in the design of an NLP4RE tool?")</f>
        <v>Have you been involved in the design of an NLP4RE tool?</v>
      </c>
      <c r="N12" s="13" t="str">
        <f>IFERROR(__xludf.DUMMYFUNCTION("""COMPUTED_VALUE"""),"Yes")</f>
        <v>Yes</v>
      </c>
    </row>
    <row r="13">
      <c r="A13" s="13" t="str">
        <f>IFERROR(__xludf.DUMMYFUNCTION("""COMPUTED_VALUE"""),"It would be easy for me to become skillful at using the SRA.")</f>
        <v>It would be easy for me to become skillful at using the SRA.</v>
      </c>
      <c r="B13" s="14">
        <f>IFERROR(__xludf.DUMMYFUNCTION("""COMPUTED_VALUE"""),4.0)</f>
        <v>4</v>
      </c>
      <c r="D13" s="13" t="str">
        <f>IFERROR(__xludf.DUMMYFUNCTION("""COMPUTED_VALUE"""),"Using the SRA would make it easier to develop a new NLP4RE tool.")</f>
        <v>Using the SRA would make it easier to develop a new NLP4RE tool.</v>
      </c>
      <c r="E13" s="14">
        <f>IFERROR(__xludf.DUMMYFUNCTION("""COMPUTED_VALUE"""),6.0)</f>
        <v>6</v>
      </c>
      <c r="G13" s="13" t="str">
        <f>IFERROR(__xludf.DUMMYFUNCTION("""COMPUTED_VALUE"""),"I intend to recommend colleagues, students, or others to use the SRA when developing a new NLP4RE tool.")</f>
        <v>I intend to recommend colleagues, students, or others to use the SRA when developing a new NLP4RE tool.</v>
      </c>
      <c r="H13" s="14">
        <f>IFERROR(__xludf.DUMMYFUNCTION("""COMPUTED_VALUE"""),5.0)</f>
        <v>5</v>
      </c>
      <c r="J13"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13" s="14">
        <f>IFERROR(__xludf.DUMMYFUNCTION("""COMPUTED_VALUE"""),6.0)</f>
        <v>6</v>
      </c>
      <c r="M13" s="13" t="str">
        <f>IFERROR(__xludf.DUMMYFUNCTION("""COMPUTED_VALUE"""),"Have you been involved in the design of an NLP4RE tool?")</f>
        <v>Have you been involved in the design of an NLP4RE tool?</v>
      </c>
      <c r="N13" s="13" t="str">
        <f>IFERROR(__xludf.DUMMYFUNCTION("""COMPUTED_VALUE"""),"Yes")</f>
        <v>Yes</v>
      </c>
    </row>
    <row r="14">
      <c r="A14" s="13" t="str">
        <f>IFERROR(__xludf.DUMMYFUNCTION("""COMPUTED_VALUE"""),"I would find the SRA easy to use.")</f>
        <v>I would find the SRA easy to use.</v>
      </c>
      <c r="B14" s="14">
        <f>IFERROR(__xludf.DUMMYFUNCTION("""COMPUTED_VALUE"""),6.0)</f>
        <v>6</v>
      </c>
      <c r="D14" s="13" t="str">
        <f>IFERROR(__xludf.DUMMYFUNCTION("""COMPUTED_VALUE"""),"I would find the SRA useful for developing a new NLP4RE tool.")</f>
        <v>I would find the SRA useful for developing a new NLP4RE tool.</v>
      </c>
      <c r="E14" s="14">
        <f>IFERROR(__xludf.DUMMYFUNCTION("""COMPUTED_VALUE"""),6.0)</f>
        <v>6</v>
      </c>
      <c r="G14" s="13" t="str">
        <f>IFERROR(__xludf.DUMMYFUNCTION("""COMPUTED_VALUE"""),"I intend to re-implement an existing NLP4RE tool using the SRA.")</f>
        <v>I intend to re-implement an existing NLP4RE tool using the SRA.</v>
      </c>
      <c r="H14" s="14">
        <f>IFERROR(__xludf.DUMMYFUNCTION("""COMPUTED_VALUE"""),2.0)</f>
        <v>2</v>
      </c>
      <c r="J14"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14" s="14">
        <f>IFERROR(__xludf.DUMMYFUNCTION("""COMPUTED_VALUE"""),4.0)</f>
        <v>4</v>
      </c>
      <c r="M14" s="13" t="str">
        <f>IFERROR(__xludf.DUMMYFUNCTION("""COMPUTED_VALUE"""),"Have you been involved in the design of an NLP4RE tool?")</f>
        <v>Have you been involved in the design of an NLP4RE tool?</v>
      </c>
      <c r="N14" s="13" t="str">
        <f>IFERROR(__xludf.DUMMYFUNCTION("""COMPUTED_VALUE"""),"Yes")</f>
        <v>Yes</v>
      </c>
    </row>
    <row r="15">
      <c r="A15" s="13" t="str">
        <f>IFERROR(__xludf.DUMMYFUNCTION("""COMPUTED_VALUE"""),"Learning to apply the SRA would be easy for me.")</f>
        <v>Learning to apply the SRA would be easy for me.</v>
      </c>
      <c r="B15" s="14">
        <f>IFERROR(__xludf.DUMMYFUNCTION("""COMPUTED_VALUE"""),4.0)</f>
        <v>4</v>
      </c>
      <c r="D15" s="13" t="str">
        <f>IFERROR(__xludf.DUMMYFUNCTION("""COMPUTED_VALUE"""),"Using the SRA for developing a new NLP4RE tool would enable me to accomplish tasks more quickly.")</f>
        <v>Using the SRA for developing a new NLP4RE tool would enable me to accomplish tasks more quickly.</v>
      </c>
      <c r="E15" s="14">
        <f>IFERROR(__xludf.DUMMYFUNCTION("""COMPUTED_VALUE"""),5.0)</f>
        <v>5</v>
      </c>
      <c r="G15" s="13" t="str">
        <f>IFERROR(__xludf.DUMMYFUNCTION("""COMPUTED_VALUE"""),"I intend to use the SRA when developing an NLP4RE tool in the future.")</f>
        <v>I intend to use the SRA when developing an NLP4RE tool in the future.</v>
      </c>
      <c r="H15" s="14">
        <f>IFERROR(__xludf.DUMMYFUNCTION("""COMPUTED_VALUE"""),5.0)</f>
        <v>5</v>
      </c>
      <c r="J15"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15" s="14">
        <f>IFERROR(__xludf.DUMMYFUNCTION("""COMPUTED_VALUE"""),7.0)</f>
        <v>7</v>
      </c>
      <c r="M15" s="13" t="str">
        <f>IFERROR(__xludf.DUMMYFUNCTION("""COMPUTED_VALUE"""),"Have you been involved in the design of an NLP4RE tool?")</f>
        <v>Have you been involved in the design of an NLP4RE tool?</v>
      </c>
      <c r="N15" s="13" t="str">
        <f>IFERROR(__xludf.DUMMYFUNCTION("""COMPUTED_VALUE"""),"Yes")</f>
        <v>Yes</v>
      </c>
    </row>
    <row r="16">
      <c r="A16" s="13" t="str">
        <f>IFERROR(__xludf.DUMMYFUNCTION("""COMPUTED_VALUE"""),"I would find it easy to get the information I need out of the SRA.")</f>
        <v>I would find it easy to get the information I need out of the SRA.</v>
      </c>
      <c r="B16" s="14">
        <f>IFERROR(__xludf.DUMMYFUNCTION("""COMPUTED_VALUE"""),4.0)</f>
        <v>4</v>
      </c>
      <c r="D16" s="13" t="str">
        <f>IFERROR(__xludf.DUMMYFUNCTION("""COMPUTED_VALUE"""),"Using the SRA would improve my performance when developing an NLP4RE tool.")</f>
        <v>Using the SRA would improve my performance when developing an NLP4RE tool.</v>
      </c>
      <c r="E16" s="14">
        <f>IFERROR(__xludf.DUMMYFUNCTION("""COMPUTED_VALUE"""),4.0)</f>
        <v>4</v>
      </c>
      <c r="G16" s="13" t="str">
        <f>IFERROR(__xludf.DUMMYFUNCTION("""COMPUTED_VALUE"""),"I intend to recommend colleagues, students, or others to use the SRA when developing a new NLP4RE tool.")</f>
        <v>I intend to recommend colleagues, students, or others to use the SRA when developing a new NLP4RE tool.</v>
      </c>
      <c r="H16" s="14">
        <f>IFERROR(__xludf.DUMMYFUNCTION("""COMPUTED_VALUE"""),4.0)</f>
        <v>4</v>
      </c>
      <c r="J16"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16" s="14">
        <f>IFERROR(__xludf.DUMMYFUNCTION("""COMPUTED_VALUE"""),7.0)</f>
        <v>7</v>
      </c>
      <c r="M16" s="13" t="str">
        <f>IFERROR(__xludf.DUMMYFUNCTION("""COMPUTED_VALUE"""),"Have you been involved in the design of an NLP4RE tool?")</f>
        <v>Have you been involved in the design of an NLP4RE tool?</v>
      </c>
      <c r="N16" s="13" t="str">
        <f>IFERROR(__xludf.DUMMYFUNCTION("""COMPUTED_VALUE"""),"Yes")</f>
        <v>Yes</v>
      </c>
    </row>
    <row r="17">
      <c r="A17" s="13" t="str">
        <f>IFERROR(__xludf.DUMMYFUNCTION("""COMPUTED_VALUE"""),"My interaction with the SRA would be clear and understandable.")</f>
        <v>My interaction with the SRA would be clear and understandable.</v>
      </c>
      <c r="B17" s="14">
        <f>IFERROR(__xludf.DUMMYFUNCTION("""COMPUTED_VALUE"""),4.0)</f>
        <v>4</v>
      </c>
      <c r="D17" s="13" t="str">
        <f>IFERROR(__xludf.DUMMYFUNCTION("""COMPUTED_VALUE"""),"Using the SRA when developing a new NLP4RE tool would increase my productivity.")</f>
        <v>Using the SRA when developing a new NLP4RE tool would increase my productivity.</v>
      </c>
      <c r="E17" s="14">
        <f>IFERROR(__xludf.DUMMYFUNCTION("""COMPUTED_VALUE"""),5.0)</f>
        <v>5</v>
      </c>
      <c r="G17" s="13" t="str">
        <f>IFERROR(__xludf.DUMMYFUNCTION("""COMPUTED_VALUE"""),"I intend to re-implement an existing NLP4RE tool using the SRA.")</f>
        <v>I intend to re-implement an existing NLP4RE tool using the SRA.</v>
      </c>
      <c r="H17" s="14">
        <f>IFERROR(__xludf.DUMMYFUNCTION("""COMPUTED_VALUE"""),2.0)</f>
        <v>2</v>
      </c>
      <c r="J17"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17" s="14">
        <f>IFERROR(__xludf.DUMMYFUNCTION("""COMPUTED_VALUE"""),7.0)</f>
        <v>7</v>
      </c>
      <c r="M17" s="13" t="str">
        <f>IFERROR(__xludf.DUMMYFUNCTION("""COMPUTED_VALUE"""),"Have you been involved in the design of an NLP4RE tool?")</f>
        <v>Have you been involved in the design of an NLP4RE tool?</v>
      </c>
      <c r="N17" s="13" t="str">
        <f>IFERROR(__xludf.DUMMYFUNCTION("""COMPUTED_VALUE"""),"Yes")</f>
        <v>Yes</v>
      </c>
    </row>
    <row r="18">
      <c r="A18" s="13" t="str">
        <f>IFERROR(__xludf.DUMMYFUNCTION("""COMPUTED_VALUE"""),"I would find SRA to be flexible to interact with.")</f>
        <v>I would find SRA to be flexible to interact with.</v>
      </c>
      <c r="B18" s="14">
        <f>IFERROR(__xludf.DUMMYFUNCTION("""COMPUTED_VALUE"""),4.0)</f>
        <v>4</v>
      </c>
      <c r="D18" s="13" t="str">
        <f>IFERROR(__xludf.DUMMYFUNCTION("""COMPUTED_VALUE"""),"Using the SRA would enhance my effectiveness when developing a new NLP4RE tool.")</f>
        <v>Using the SRA would enhance my effectiveness when developing a new NLP4RE tool.</v>
      </c>
      <c r="E18" s="14">
        <f>IFERROR(__xludf.DUMMYFUNCTION("""COMPUTED_VALUE"""),4.0)</f>
        <v>4</v>
      </c>
      <c r="G18" s="13" t="str">
        <f>IFERROR(__xludf.DUMMYFUNCTION("""COMPUTED_VALUE"""),"I intend to use the SRA when developing an NLP4RE tool in the future.")</f>
        <v>I intend to use the SRA when developing an NLP4RE tool in the future.</v>
      </c>
      <c r="H18" s="14">
        <f>IFERROR(__xludf.DUMMYFUNCTION("""COMPUTED_VALUE"""),4.0)</f>
        <v>4</v>
      </c>
      <c r="J18"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18" s="14">
        <f>IFERROR(__xludf.DUMMYFUNCTION("""COMPUTED_VALUE"""),6.0)</f>
        <v>6</v>
      </c>
      <c r="M18" s="13" t="str">
        <f>IFERROR(__xludf.DUMMYFUNCTION("""COMPUTED_VALUE"""),"Have you been involved in the design of an NLP4RE tool?")</f>
        <v>Have you been involved in the design of an NLP4RE tool?</v>
      </c>
      <c r="N18" s="13" t="str">
        <f>IFERROR(__xludf.DUMMYFUNCTION("""COMPUTED_VALUE"""),"Yes")</f>
        <v>Yes</v>
      </c>
    </row>
    <row r="19">
      <c r="A19" s="13" t="str">
        <f>IFERROR(__xludf.DUMMYFUNCTION("""COMPUTED_VALUE"""),"It would be easy for me to become skillful at using the SRA.")</f>
        <v>It would be easy for me to become skillful at using the SRA.</v>
      </c>
      <c r="B19" s="14">
        <f>IFERROR(__xludf.DUMMYFUNCTION("""COMPUTED_VALUE"""),4.0)</f>
        <v>4</v>
      </c>
      <c r="D19" s="13" t="str">
        <f>IFERROR(__xludf.DUMMYFUNCTION("""COMPUTED_VALUE"""),"Using the SRA would make it easier to develop a new NLP4RE tool.")</f>
        <v>Using the SRA would make it easier to develop a new NLP4RE tool.</v>
      </c>
      <c r="E19" s="14">
        <f>IFERROR(__xludf.DUMMYFUNCTION("""COMPUTED_VALUE"""),5.0)</f>
        <v>5</v>
      </c>
      <c r="G19" s="13" t="str">
        <f>IFERROR(__xludf.DUMMYFUNCTION("""COMPUTED_VALUE"""),"I intend to recommend colleagues, students, or others to use the SRA when developing a new NLP4RE tool.")</f>
        <v>I intend to recommend colleagues, students, or others to use the SRA when developing a new NLP4RE tool.</v>
      </c>
      <c r="H19" s="14">
        <f>IFERROR(__xludf.DUMMYFUNCTION("""COMPUTED_VALUE"""),4.0)</f>
        <v>4</v>
      </c>
      <c r="J19"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19" s="14">
        <f>IFERROR(__xludf.DUMMYFUNCTION("""COMPUTED_VALUE"""),6.0)</f>
        <v>6</v>
      </c>
      <c r="M19" s="13" t="str">
        <f>IFERROR(__xludf.DUMMYFUNCTION("""COMPUTED_VALUE"""),"Have you been involved in the design of an NLP4RE tool?")</f>
        <v>Have you been involved in the design of an NLP4RE tool?</v>
      </c>
      <c r="N19" s="13" t="str">
        <f>IFERROR(__xludf.DUMMYFUNCTION("""COMPUTED_VALUE"""),"Yes")</f>
        <v>Yes</v>
      </c>
    </row>
    <row r="20">
      <c r="A20" s="13" t="str">
        <f>IFERROR(__xludf.DUMMYFUNCTION("""COMPUTED_VALUE"""),"I would find the SRA easy to use.")</f>
        <v>I would find the SRA easy to use.</v>
      </c>
      <c r="B20" s="14">
        <f>IFERROR(__xludf.DUMMYFUNCTION("""COMPUTED_VALUE"""),4.0)</f>
        <v>4</v>
      </c>
      <c r="D20" s="13" t="str">
        <f>IFERROR(__xludf.DUMMYFUNCTION("""COMPUTED_VALUE"""),"I would find the SRA useful for developing a new NLP4RE tool.")</f>
        <v>I would find the SRA useful for developing a new NLP4RE tool.</v>
      </c>
      <c r="E20" s="14">
        <f>IFERROR(__xludf.DUMMYFUNCTION("""COMPUTED_VALUE"""),5.0)</f>
        <v>5</v>
      </c>
      <c r="G20" s="13" t="str">
        <f>IFERROR(__xludf.DUMMYFUNCTION("""COMPUTED_VALUE"""),"I intend to re-implement an existing NLP4RE tool using the SRA.")</f>
        <v>I intend to re-implement an existing NLP4RE tool using the SRA.</v>
      </c>
      <c r="H20" s="14">
        <f>IFERROR(__xludf.DUMMYFUNCTION("""COMPUTED_VALUE"""),1.0)</f>
        <v>1</v>
      </c>
      <c r="J20"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20" s="14">
        <f>IFERROR(__xludf.DUMMYFUNCTION("""COMPUTED_VALUE"""),5.0)</f>
        <v>5</v>
      </c>
      <c r="M20" s="13" t="str">
        <f>IFERROR(__xludf.DUMMYFUNCTION("""COMPUTED_VALUE"""),"Have you been involved in the design of an NLP4RE tool?")</f>
        <v>Have you been involved in the design of an NLP4RE tool?</v>
      </c>
      <c r="N20" s="13" t="str">
        <f>IFERROR(__xludf.DUMMYFUNCTION("""COMPUTED_VALUE"""),"Yes")</f>
        <v>Yes</v>
      </c>
    </row>
    <row r="21">
      <c r="A21" s="13" t="str">
        <f>IFERROR(__xludf.DUMMYFUNCTION("""COMPUTED_VALUE"""),"Learning to apply the SRA would be easy for me.")</f>
        <v>Learning to apply the SRA would be easy for me.</v>
      </c>
      <c r="B21" s="14">
        <f>IFERROR(__xludf.DUMMYFUNCTION("""COMPUTED_VALUE"""),5.0)</f>
        <v>5</v>
      </c>
      <c r="D21" s="13" t="str">
        <f>IFERROR(__xludf.DUMMYFUNCTION("""COMPUTED_VALUE"""),"Using the SRA for developing a new NLP4RE tool would enable me to accomplish tasks more quickly.")</f>
        <v>Using the SRA for developing a new NLP4RE tool would enable me to accomplish tasks more quickly.</v>
      </c>
      <c r="E21" s="14">
        <f>IFERROR(__xludf.DUMMYFUNCTION("""COMPUTED_VALUE"""),6.0)</f>
        <v>6</v>
      </c>
      <c r="G21" s="13" t="str">
        <f>IFERROR(__xludf.DUMMYFUNCTION("""COMPUTED_VALUE"""),"I intend to use the SRA when developing an NLP4RE tool in the future.")</f>
        <v>I intend to use the SRA when developing an NLP4RE tool in the future.</v>
      </c>
      <c r="H21" s="14">
        <f>IFERROR(__xludf.DUMMYFUNCTION("""COMPUTED_VALUE"""),5.0)</f>
        <v>5</v>
      </c>
      <c r="J21"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21" s="14">
        <f>IFERROR(__xludf.DUMMYFUNCTION("""COMPUTED_VALUE"""),7.0)</f>
        <v>7</v>
      </c>
      <c r="M21" s="13" t="str">
        <f>IFERROR(__xludf.DUMMYFUNCTION("""COMPUTED_VALUE"""),"Have you been involved in the design of an NLP4RE tool?")</f>
        <v>Have you been involved in the design of an NLP4RE tool?</v>
      </c>
      <c r="N21" s="13" t="str">
        <f>IFERROR(__xludf.DUMMYFUNCTION("""COMPUTED_VALUE"""),"Yes")</f>
        <v>Yes</v>
      </c>
    </row>
    <row r="22">
      <c r="A22" s="13" t="str">
        <f>IFERROR(__xludf.DUMMYFUNCTION("""COMPUTED_VALUE"""),"I would find it easy to get the information I need out of the SRA.")</f>
        <v>I would find it easy to get the information I need out of the SRA.</v>
      </c>
      <c r="B22" s="14">
        <f>IFERROR(__xludf.DUMMYFUNCTION("""COMPUTED_VALUE"""),3.0)</f>
        <v>3</v>
      </c>
      <c r="D22" s="13" t="str">
        <f>IFERROR(__xludf.DUMMYFUNCTION("""COMPUTED_VALUE"""),"Using the SRA would improve my performance when developing an NLP4RE tool.")</f>
        <v>Using the SRA would improve my performance when developing an NLP4RE tool.</v>
      </c>
      <c r="E22" s="14">
        <f>IFERROR(__xludf.DUMMYFUNCTION("""COMPUTED_VALUE"""),6.0)</f>
        <v>6</v>
      </c>
      <c r="G22" s="13" t="str">
        <f>IFERROR(__xludf.DUMMYFUNCTION("""COMPUTED_VALUE"""),"I intend to recommend colleagues, students, or others to use the SRA when developing a new NLP4RE tool.")</f>
        <v>I intend to recommend colleagues, students, or others to use the SRA when developing a new NLP4RE tool.</v>
      </c>
      <c r="H22" s="14">
        <f>IFERROR(__xludf.DUMMYFUNCTION("""COMPUTED_VALUE"""),6.0)</f>
        <v>6</v>
      </c>
      <c r="J22"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22" s="14">
        <f>IFERROR(__xludf.DUMMYFUNCTION("""COMPUTED_VALUE"""),7.0)</f>
        <v>7</v>
      </c>
      <c r="M22" s="13" t="str">
        <f>IFERROR(__xludf.DUMMYFUNCTION("""COMPUTED_VALUE"""),"Have you been involved in the design of an NLP4RE tool?")</f>
        <v>Have you been involved in the design of an NLP4RE tool?</v>
      </c>
      <c r="N22" s="13" t="str">
        <f>IFERROR(__xludf.DUMMYFUNCTION("""COMPUTED_VALUE"""),"Yes")</f>
        <v>Yes</v>
      </c>
    </row>
    <row r="23">
      <c r="A23" s="13" t="str">
        <f>IFERROR(__xludf.DUMMYFUNCTION("""COMPUTED_VALUE"""),"My interaction with the SRA would be clear and understandable.")</f>
        <v>My interaction with the SRA would be clear and understandable.</v>
      </c>
      <c r="B23" s="14">
        <f>IFERROR(__xludf.DUMMYFUNCTION("""COMPUTED_VALUE"""),4.0)</f>
        <v>4</v>
      </c>
      <c r="D23" s="13" t="str">
        <f>IFERROR(__xludf.DUMMYFUNCTION("""COMPUTED_VALUE"""),"Using the SRA when developing a new NLP4RE tool would increase my productivity.")</f>
        <v>Using the SRA when developing a new NLP4RE tool would increase my productivity.</v>
      </c>
      <c r="E23" s="14">
        <f>IFERROR(__xludf.DUMMYFUNCTION("""COMPUTED_VALUE"""),6.0)</f>
        <v>6</v>
      </c>
      <c r="G23" s="13" t="str">
        <f>IFERROR(__xludf.DUMMYFUNCTION("""COMPUTED_VALUE"""),"I intend to re-implement an existing NLP4RE tool using the SRA.")</f>
        <v>I intend to re-implement an existing NLP4RE tool using the SRA.</v>
      </c>
      <c r="H23" s="14">
        <f>IFERROR(__xludf.DUMMYFUNCTION("""COMPUTED_VALUE"""),3.0)</f>
        <v>3</v>
      </c>
      <c r="J23"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23" s="14">
        <f>IFERROR(__xludf.DUMMYFUNCTION("""COMPUTED_VALUE"""),3.0)</f>
        <v>3</v>
      </c>
      <c r="M23" s="13" t="str">
        <f>IFERROR(__xludf.DUMMYFUNCTION("""COMPUTED_VALUE"""),"Have you been involved in the design of an NLP4RE tool?")</f>
        <v>Have you been involved in the design of an NLP4RE tool?</v>
      </c>
      <c r="N23" s="13" t="str">
        <f>IFERROR(__xludf.DUMMYFUNCTION("""COMPUTED_VALUE"""),"Yes")</f>
        <v>Yes</v>
      </c>
    </row>
    <row r="24">
      <c r="A24" s="13" t="str">
        <f>IFERROR(__xludf.DUMMYFUNCTION("""COMPUTED_VALUE"""),"I would find SRA to be flexible to interact with.")</f>
        <v>I would find SRA to be flexible to interact with.</v>
      </c>
      <c r="B24" s="14">
        <f>IFERROR(__xludf.DUMMYFUNCTION("""COMPUTED_VALUE"""),5.0)</f>
        <v>5</v>
      </c>
      <c r="D24" s="13" t="str">
        <f>IFERROR(__xludf.DUMMYFUNCTION("""COMPUTED_VALUE"""),"Using the SRA would enhance my effectiveness when developing a new NLP4RE tool.")</f>
        <v>Using the SRA would enhance my effectiveness when developing a new NLP4RE tool.</v>
      </c>
      <c r="E24" s="14">
        <f>IFERROR(__xludf.DUMMYFUNCTION("""COMPUTED_VALUE"""),7.0)</f>
        <v>7</v>
      </c>
      <c r="G24" s="13" t="str">
        <f>IFERROR(__xludf.DUMMYFUNCTION("""COMPUTED_VALUE"""),"I intend to use the SRA when developing an NLP4RE tool in the future.")</f>
        <v>I intend to use the SRA when developing an NLP4RE tool in the future.</v>
      </c>
      <c r="H24" s="14">
        <f>IFERROR(__xludf.DUMMYFUNCTION("""COMPUTED_VALUE"""),7.0)</f>
        <v>7</v>
      </c>
      <c r="J24"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24" s="14">
        <f>IFERROR(__xludf.DUMMYFUNCTION("""COMPUTED_VALUE"""),4.0)</f>
        <v>4</v>
      </c>
    </row>
    <row r="25">
      <c r="A25" s="13" t="str">
        <f>IFERROR(__xludf.DUMMYFUNCTION("""COMPUTED_VALUE"""),"It would be easy for me to become skillful at using the SRA.")</f>
        <v>It would be easy for me to become skillful at using the SRA.</v>
      </c>
      <c r="B25" s="14">
        <f>IFERROR(__xludf.DUMMYFUNCTION("""COMPUTED_VALUE"""),4.0)</f>
        <v>4</v>
      </c>
      <c r="D25" s="13" t="str">
        <f>IFERROR(__xludf.DUMMYFUNCTION("""COMPUTED_VALUE"""),"Using the SRA would make it easier to develop a new NLP4RE tool.")</f>
        <v>Using the SRA would make it easier to develop a new NLP4RE tool.</v>
      </c>
      <c r="E25" s="14">
        <f>IFERROR(__xludf.DUMMYFUNCTION("""COMPUTED_VALUE"""),6.0)</f>
        <v>6</v>
      </c>
      <c r="G25" s="13" t="str">
        <f>IFERROR(__xludf.DUMMYFUNCTION("""COMPUTED_VALUE"""),"I intend to recommend colleagues, students, or others to use the SRA when developing a new NLP4RE tool.")</f>
        <v>I intend to recommend colleagues, students, or others to use the SRA when developing a new NLP4RE tool.</v>
      </c>
      <c r="H25" s="14">
        <f>IFERROR(__xludf.DUMMYFUNCTION("""COMPUTED_VALUE"""),7.0)</f>
        <v>7</v>
      </c>
      <c r="J25"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25" s="14">
        <f>IFERROR(__xludf.DUMMYFUNCTION("""COMPUTED_VALUE"""),2.0)</f>
        <v>2</v>
      </c>
    </row>
    <row r="26">
      <c r="A26" s="13" t="str">
        <f>IFERROR(__xludf.DUMMYFUNCTION("""COMPUTED_VALUE"""),"I would find the SRA easy to use.")</f>
        <v>I would find the SRA easy to use.</v>
      </c>
      <c r="B26" s="14">
        <f>IFERROR(__xludf.DUMMYFUNCTION("""COMPUTED_VALUE"""),6.0)</f>
        <v>6</v>
      </c>
      <c r="D26" s="13" t="str">
        <f>IFERROR(__xludf.DUMMYFUNCTION("""COMPUTED_VALUE"""),"I would find the SRA useful for developing a new NLP4RE tool.")</f>
        <v>I would find the SRA useful for developing a new NLP4RE tool.</v>
      </c>
      <c r="E26" s="14">
        <f>IFERROR(__xludf.DUMMYFUNCTION("""COMPUTED_VALUE"""),7.0)</f>
        <v>7</v>
      </c>
      <c r="G26" s="13" t="str">
        <f>IFERROR(__xludf.DUMMYFUNCTION("""COMPUTED_VALUE"""),"I intend to re-implement an existing NLP4RE tool using the SRA.")</f>
        <v>I intend to re-implement an existing NLP4RE tool using the SRA.</v>
      </c>
      <c r="H26" s="14">
        <f>IFERROR(__xludf.DUMMYFUNCTION("""COMPUTED_VALUE"""),4.0)</f>
        <v>4</v>
      </c>
      <c r="J26"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26" s="14">
        <f>IFERROR(__xludf.DUMMYFUNCTION("""COMPUTED_VALUE"""),3.0)</f>
        <v>3</v>
      </c>
    </row>
    <row r="27">
      <c r="A27" s="13" t="str">
        <f>IFERROR(__xludf.DUMMYFUNCTION("""COMPUTED_VALUE"""),"Learning to apply the SRA would be easy for me.")</f>
        <v>Learning to apply the SRA would be easy for me.</v>
      </c>
      <c r="B27" s="14">
        <f>IFERROR(__xludf.DUMMYFUNCTION("""COMPUTED_VALUE"""),3.0)</f>
        <v>3</v>
      </c>
      <c r="D27" s="13" t="str">
        <f>IFERROR(__xludf.DUMMYFUNCTION("""COMPUTED_VALUE"""),"Using the SRA for developing a new NLP4RE tool would enable me to accomplish tasks more quickly.")</f>
        <v>Using the SRA for developing a new NLP4RE tool would enable me to accomplish tasks more quickly.</v>
      </c>
      <c r="E27" s="14">
        <f>IFERROR(__xludf.DUMMYFUNCTION("""COMPUTED_VALUE"""),6.0)</f>
        <v>6</v>
      </c>
      <c r="G27" s="13" t="str">
        <f>IFERROR(__xludf.DUMMYFUNCTION("""COMPUTED_VALUE"""),"I intend to use the SRA when developing an NLP4RE tool in the future.")</f>
        <v>I intend to use the SRA when developing an NLP4RE tool in the future.</v>
      </c>
      <c r="H27" s="14">
        <f>IFERROR(__xludf.DUMMYFUNCTION("""COMPUTED_VALUE"""),5.0)</f>
        <v>5</v>
      </c>
      <c r="J27"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27" s="14">
        <f>IFERROR(__xludf.DUMMYFUNCTION("""COMPUTED_VALUE"""),6.0)</f>
        <v>6</v>
      </c>
    </row>
    <row r="28">
      <c r="A28" s="13" t="str">
        <f>IFERROR(__xludf.DUMMYFUNCTION("""COMPUTED_VALUE"""),"I would find it easy to get the information I need out of the SRA.")</f>
        <v>I would find it easy to get the information I need out of the SRA.</v>
      </c>
      <c r="B28" s="14">
        <f>IFERROR(__xludf.DUMMYFUNCTION("""COMPUTED_VALUE"""),5.0)</f>
        <v>5</v>
      </c>
      <c r="D28" s="13" t="str">
        <f>IFERROR(__xludf.DUMMYFUNCTION("""COMPUTED_VALUE"""),"Using the SRA would improve my performance when developing an NLP4RE tool.")</f>
        <v>Using the SRA would improve my performance when developing an NLP4RE tool.</v>
      </c>
      <c r="E28" s="14">
        <f>IFERROR(__xludf.DUMMYFUNCTION("""COMPUTED_VALUE"""),5.0)</f>
        <v>5</v>
      </c>
      <c r="G28" s="13" t="str">
        <f>IFERROR(__xludf.DUMMYFUNCTION("""COMPUTED_VALUE"""),"I intend to recommend colleagues, students, or others to use the SRA when developing a new NLP4RE tool.")</f>
        <v>I intend to recommend colleagues, students, or others to use the SRA when developing a new NLP4RE tool.</v>
      </c>
      <c r="H28" s="14">
        <f>IFERROR(__xludf.DUMMYFUNCTION("""COMPUTED_VALUE"""),5.0)</f>
        <v>5</v>
      </c>
      <c r="J28"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28" s="14">
        <f>IFERROR(__xludf.DUMMYFUNCTION("""COMPUTED_VALUE"""),7.0)</f>
        <v>7</v>
      </c>
    </row>
    <row r="29">
      <c r="A29" s="13" t="str">
        <f>IFERROR(__xludf.DUMMYFUNCTION("""COMPUTED_VALUE"""),"My interaction with the SRA would be clear and understandable.")</f>
        <v>My interaction with the SRA would be clear and understandable.</v>
      </c>
      <c r="B29" s="14">
        <f>IFERROR(__xludf.DUMMYFUNCTION("""COMPUTED_VALUE"""),5.0)</f>
        <v>5</v>
      </c>
      <c r="D29" s="13" t="str">
        <f>IFERROR(__xludf.DUMMYFUNCTION("""COMPUTED_VALUE"""),"Using the SRA when developing a new NLP4RE tool would increase my productivity.")</f>
        <v>Using the SRA when developing a new NLP4RE tool would increase my productivity.</v>
      </c>
      <c r="E29" s="14">
        <f>IFERROR(__xludf.DUMMYFUNCTION("""COMPUTED_VALUE"""),5.0)</f>
        <v>5</v>
      </c>
      <c r="G29" s="13" t="str">
        <f>IFERROR(__xludf.DUMMYFUNCTION("""COMPUTED_VALUE"""),"I intend to re-implement an existing NLP4RE tool using the SRA.")</f>
        <v>I intend to re-implement an existing NLP4RE tool using the SRA.</v>
      </c>
      <c r="H29" s="14">
        <f>IFERROR(__xludf.DUMMYFUNCTION("""COMPUTED_VALUE"""),4.0)</f>
        <v>4</v>
      </c>
      <c r="J29"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29" s="14">
        <f>IFERROR(__xludf.DUMMYFUNCTION("""COMPUTED_VALUE"""),6.0)</f>
        <v>6</v>
      </c>
    </row>
    <row r="30">
      <c r="A30" s="13" t="str">
        <f>IFERROR(__xludf.DUMMYFUNCTION("""COMPUTED_VALUE"""),"I would find SRA to be flexible to interact with.")</f>
        <v>I would find SRA to be flexible to interact with.</v>
      </c>
      <c r="B30" s="14">
        <f>IFERROR(__xludf.DUMMYFUNCTION("""COMPUTED_VALUE"""),5.0)</f>
        <v>5</v>
      </c>
      <c r="D30" s="13" t="str">
        <f>IFERROR(__xludf.DUMMYFUNCTION("""COMPUTED_VALUE"""),"Using the SRA would enhance my effectiveness when developing a new NLP4RE tool.")</f>
        <v>Using the SRA would enhance my effectiveness when developing a new NLP4RE tool.</v>
      </c>
      <c r="E30" s="14">
        <f>IFERROR(__xludf.DUMMYFUNCTION("""COMPUTED_VALUE"""),5.0)</f>
        <v>5</v>
      </c>
      <c r="G30" s="13" t="str">
        <f>IFERROR(__xludf.DUMMYFUNCTION("""COMPUTED_VALUE"""),"I intend to use the SRA when developing an NLP4RE tool in the future.")</f>
        <v>I intend to use the SRA when developing an NLP4RE tool in the future.</v>
      </c>
      <c r="H30" s="14">
        <f>IFERROR(__xludf.DUMMYFUNCTION("""COMPUTED_VALUE"""),4.0)</f>
        <v>4</v>
      </c>
      <c r="J30"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30" s="14">
        <f>IFERROR(__xludf.DUMMYFUNCTION("""COMPUTED_VALUE"""),6.0)</f>
        <v>6</v>
      </c>
    </row>
    <row r="31">
      <c r="A31" s="13" t="str">
        <f>IFERROR(__xludf.DUMMYFUNCTION("""COMPUTED_VALUE"""),"It would be easy for me to become skillful at using the SRA.")</f>
        <v>It would be easy for me to become skillful at using the SRA.</v>
      </c>
      <c r="B31" s="14">
        <f>IFERROR(__xludf.DUMMYFUNCTION("""COMPUTED_VALUE"""),5.0)</f>
        <v>5</v>
      </c>
      <c r="D31" s="13" t="str">
        <f>IFERROR(__xludf.DUMMYFUNCTION("""COMPUTED_VALUE"""),"Using the SRA would make it easier to develop a new NLP4RE tool.")</f>
        <v>Using the SRA would make it easier to develop a new NLP4RE tool.</v>
      </c>
      <c r="E31" s="14">
        <f>IFERROR(__xludf.DUMMYFUNCTION("""COMPUTED_VALUE"""),5.0)</f>
        <v>5</v>
      </c>
      <c r="G31" s="13" t="str">
        <f>IFERROR(__xludf.DUMMYFUNCTION("""COMPUTED_VALUE"""),"I intend to recommend colleagues, students, or others to use the SRA when developing a new NLP4RE tool.")</f>
        <v>I intend to recommend colleagues, students, or others to use the SRA when developing a new NLP4RE tool.</v>
      </c>
      <c r="H31" s="14">
        <f>IFERROR(__xludf.DUMMYFUNCTION("""COMPUTED_VALUE"""),5.0)</f>
        <v>5</v>
      </c>
      <c r="J31"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31" s="14">
        <f>IFERROR(__xludf.DUMMYFUNCTION("""COMPUTED_VALUE"""),7.0)</f>
        <v>7</v>
      </c>
    </row>
    <row r="32">
      <c r="A32" s="13" t="str">
        <f>IFERROR(__xludf.DUMMYFUNCTION("""COMPUTED_VALUE"""),"I would find the SRA easy to use.")</f>
        <v>I would find the SRA easy to use.</v>
      </c>
      <c r="B32" s="14">
        <f>IFERROR(__xludf.DUMMYFUNCTION("""COMPUTED_VALUE"""),5.0)</f>
        <v>5</v>
      </c>
      <c r="D32" s="13" t="str">
        <f>IFERROR(__xludf.DUMMYFUNCTION("""COMPUTED_VALUE"""),"I would find the SRA useful for developing a new NLP4RE tool.")</f>
        <v>I would find the SRA useful for developing a new NLP4RE tool.</v>
      </c>
      <c r="E32" s="14">
        <f>IFERROR(__xludf.DUMMYFUNCTION("""COMPUTED_VALUE"""),5.0)</f>
        <v>5</v>
      </c>
      <c r="G32" s="13" t="str">
        <f>IFERROR(__xludf.DUMMYFUNCTION("""COMPUTED_VALUE"""),"I intend to re-implement an existing NLP4RE tool using the SRA.")</f>
        <v>I intend to re-implement an existing NLP4RE tool using the SRA.</v>
      </c>
      <c r="H32" s="14">
        <f>IFERROR(__xludf.DUMMYFUNCTION("""COMPUTED_VALUE"""),3.0)</f>
        <v>3</v>
      </c>
      <c r="J32"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32" s="14">
        <f>IFERROR(__xludf.DUMMYFUNCTION("""COMPUTED_VALUE"""),4.0)</f>
        <v>4</v>
      </c>
    </row>
    <row r="33">
      <c r="A33" s="13" t="str">
        <f>IFERROR(__xludf.DUMMYFUNCTION("""COMPUTED_VALUE"""),"Learning to apply the SRA would be easy for me.")</f>
        <v>Learning to apply the SRA would be easy for me.</v>
      </c>
      <c r="B33" s="14">
        <f>IFERROR(__xludf.DUMMYFUNCTION("""COMPUTED_VALUE"""),4.0)</f>
        <v>4</v>
      </c>
      <c r="D33" s="13" t="str">
        <f>IFERROR(__xludf.DUMMYFUNCTION("""COMPUTED_VALUE"""),"Using the SRA for developing a new NLP4RE tool would enable me to accomplish tasks more quickly.")</f>
        <v>Using the SRA for developing a new NLP4RE tool would enable me to accomplish tasks more quickly.</v>
      </c>
      <c r="E33" s="14">
        <f>IFERROR(__xludf.DUMMYFUNCTION("""COMPUTED_VALUE"""),4.0)</f>
        <v>4</v>
      </c>
      <c r="G33" s="13" t="str">
        <f>IFERROR(__xludf.DUMMYFUNCTION("""COMPUTED_VALUE"""),"I intend to use the SRA when developing an NLP4RE tool in the future.")</f>
        <v>I intend to use the SRA when developing an NLP4RE tool in the future.</v>
      </c>
      <c r="H33" s="14">
        <f>IFERROR(__xludf.DUMMYFUNCTION("""COMPUTED_VALUE"""),5.0)</f>
        <v>5</v>
      </c>
      <c r="J33"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33" s="14">
        <f>IFERROR(__xludf.DUMMYFUNCTION("""COMPUTED_VALUE"""),6.0)</f>
        <v>6</v>
      </c>
    </row>
    <row r="34">
      <c r="A34" s="13" t="str">
        <f>IFERROR(__xludf.DUMMYFUNCTION("""COMPUTED_VALUE"""),"I would find it easy to get the information I need out of the SRA.")</f>
        <v>I would find it easy to get the information I need out of the SRA.</v>
      </c>
      <c r="B34" s="14">
        <f>IFERROR(__xludf.DUMMYFUNCTION("""COMPUTED_VALUE"""),5.0)</f>
        <v>5</v>
      </c>
      <c r="D34" s="13" t="str">
        <f>IFERROR(__xludf.DUMMYFUNCTION("""COMPUTED_VALUE"""),"Using the SRA would improve my performance when developing an NLP4RE tool.")</f>
        <v>Using the SRA would improve my performance when developing an NLP4RE tool.</v>
      </c>
      <c r="E34" s="14">
        <f>IFERROR(__xludf.DUMMYFUNCTION("""COMPUTED_VALUE"""),3.0)</f>
        <v>3</v>
      </c>
      <c r="G34" s="13" t="str">
        <f>IFERROR(__xludf.DUMMYFUNCTION("""COMPUTED_VALUE"""),"I intend to recommend colleagues, students, or others to use the SRA when developing a new NLP4RE tool.")</f>
        <v>I intend to recommend colleagues, students, or others to use the SRA when developing a new NLP4RE tool.</v>
      </c>
      <c r="H34" s="14">
        <f>IFERROR(__xludf.DUMMYFUNCTION("""COMPUTED_VALUE"""),6.0)</f>
        <v>6</v>
      </c>
      <c r="J34"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34" s="14">
        <f>IFERROR(__xludf.DUMMYFUNCTION("""COMPUTED_VALUE"""),6.0)</f>
        <v>6</v>
      </c>
    </row>
    <row r="35">
      <c r="A35" s="13" t="str">
        <f>IFERROR(__xludf.DUMMYFUNCTION("""COMPUTED_VALUE"""),"My interaction with the SRA would be clear and understandable.")</f>
        <v>My interaction with the SRA would be clear and understandable.</v>
      </c>
      <c r="B35" s="14">
        <f>IFERROR(__xludf.DUMMYFUNCTION("""COMPUTED_VALUE"""),5.0)</f>
        <v>5</v>
      </c>
      <c r="D35" s="13" t="str">
        <f>IFERROR(__xludf.DUMMYFUNCTION("""COMPUTED_VALUE"""),"Using the SRA when developing a new NLP4RE tool would increase my productivity.")</f>
        <v>Using the SRA when developing a new NLP4RE tool would increase my productivity.</v>
      </c>
      <c r="E35" s="14">
        <f>IFERROR(__xludf.DUMMYFUNCTION("""COMPUTED_VALUE"""),4.0)</f>
        <v>4</v>
      </c>
      <c r="G35" s="13" t="str">
        <f>IFERROR(__xludf.DUMMYFUNCTION("""COMPUTED_VALUE"""),"I intend to re-implement an existing NLP4RE tool using the SRA.")</f>
        <v>I intend to re-implement an existing NLP4RE tool using the SRA.</v>
      </c>
      <c r="H35" s="14">
        <f>IFERROR(__xludf.DUMMYFUNCTION("""COMPUTED_VALUE"""),2.0)</f>
        <v>2</v>
      </c>
      <c r="J35"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35" s="14">
        <f>IFERROR(__xludf.DUMMYFUNCTION("""COMPUTED_VALUE"""),7.0)</f>
        <v>7</v>
      </c>
    </row>
    <row r="36">
      <c r="A36" s="13" t="str">
        <f>IFERROR(__xludf.DUMMYFUNCTION("""COMPUTED_VALUE"""),"I would find SRA to be flexible to interact with.")</f>
        <v>I would find SRA to be flexible to interact with.</v>
      </c>
      <c r="B36" s="14">
        <f>IFERROR(__xludf.DUMMYFUNCTION("""COMPUTED_VALUE"""),5.0)</f>
        <v>5</v>
      </c>
      <c r="D36" s="13" t="str">
        <f>IFERROR(__xludf.DUMMYFUNCTION("""COMPUTED_VALUE"""),"Using the SRA would enhance my effectiveness when developing a new NLP4RE tool.")</f>
        <v>Using the SRA would enhance my effectiveness when developing a new NLP4RE tool.</v>
      </c>
      <c r="E36" s="14">
        <f>IFERROR(__xludf.DUMMYFUNCTION("""COMPUTED_VALUE"""),3.0)</f>
        <v>3</v>
      </c>
      <c r="G36" s="13" t="str">
        <f>IFERROR(__xludf.DUMMYFUNCTION("""COMPUTED_VALUE"""),"I intend to use the SRA when developing an NLP4RE tool in the future.")</f>
        <v>I intend to use the SRA when developing an NLP4RE tool in the future.</v>
      </c>
      <c r="H36" s="14">
        <f>IFERROR(__xludf.DUMMYFUNCTION("""COMPUTED_VALUE"""),5.0)</f>
        <v>5</v>
      </c>
      <c r="J36"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36" s="14">
        <f>IFERROR(__xludf.DUMMYFUNCTION("""COMPUTED_VALUE"""),4.0)</f>
        <v>4</v>
      </c>
    </row>
    <row r="37">
      <c r="A37" s="13" t="str">
        <f>IFERROR(__xludf.DUMMYFUNCTION("""COMPUTED_VALUE"""),"It would be easy for me to become skillful at using the SRA.")</f>
        <v>It would be easy for me to become skillful at using the SRA.</v>
      </c>
      <c r="B37" s="14">
        <f>IFERROR(__xludf.DUMMYFUNCTION("""COMPUTED_VALUE"""),4.0)</f>
        <v>4</v>
      </c>
      <c r="D37" s="13" t="str">
        <f>IFERROR(__xludf.DUMMYFUNCTION("""COMPUTED_VALUE"""),"Using the SRA would make it easier to develop a new NLP4RE tool.")</f>
        <v>Using the SRA would make it easier to develop a new NLP4RE tool.</v>
      </c>
      <c r="E37" s="14">
        <f>IFERROR(__xludf.DUMMYFUNCTION("""COMPUTED_VALUE"""),4.0)</f>
        <v>4</v>
      </c>
      <c r="G37" s="13" t="str">
        <f>IFERROR(__xludf.DUMMYFUNCTION("""COMPUTED_VALUE"""),"I intend to recommend colleagues, students, or others to use the SRA when developing a new NLP4RE tool.")</f>
        <v>I intend to recommend colleagues, students, or others to use the SRA when developing a new NLP4RE tool.</v>
      </c>
      <c r="H37" s="14">
        <f>IFERROR(__xludf.DUMMYFUNCTION("""COMPUTED_VALUE"""),5.0)</f>
        <v>5</v>
      </c>
      <c r="J37"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37" s="14">
        <f>IFERROR(__xludf.DUMMYFUNCTION("""COMPUTED_VALUE"""),6.0)</f>
        <v>6</v>
      </c>
    </row>
    <row r="38">
      <c r="A38" s="13" t="str">
        <f>IFERROR(__xludf.DUMMYFUNCTION("""COMPUTED_VALUE"""),"I would find the SRA easy to use.")</f>
        <v>I would find the SRA easy to use.</v>
      </c>
      <c r="B38" s="14">
        <f>IFERROR(__xludf.DUMMYFUNCTION("""COMPUTED_VALUE"""),4.0)</f>
        <v>4</v>
      </c>
      <c r="D38" s="13" t="str">
        <f>IFERROR(__xludf.DUMMYFUNCTION("""COMPUTED_VALUE"""),"I would find the SRA useful for developing a new NLP4RE tool.")</f>
        <v>I would find the SRA useful for developing a new NLP4RE tool.</v>
      </c>
      <c r="E38" s="14">
        <f>IFERROR(__xludf.DUMMYFUNCTION("""COMPUTED_VALUE"""),4.0)</f>
        <v>4</v>
      </c>
      <c r="G38" s="13" t="str">
        <f>IFERROR(__xludf.DUMMYFUNCTION("""COMPUTED_VALUE"""),"I intend to re-implement an existing NLP4RE tool using the SRA.")</f>
        <v>I intend to re-implement an existing NLP4RE tool using the SRA.</v>
      </c>
      <c r="H38" s="14">
        <f>IFERROR(__xludf.DUMMYFUNCTION("""COMPUTED_VALUE"""),2.0)</f>
        <v>2</v>
      </c>
      <c r="J38"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38" s="14">
        <f>IFERROR(__xludf.DUMMYFUNCTION("""COMPUTED_VALUE"""),7.0)</f>
        <v>7</v>
      </c>
    </row>
    <row r="39">
      <c r="A39" s="13" t="str">
        <f>IFERROR(__xludf.DUMMYFUNCTION("""COMPUTED_VALUE"""),"Learning to apply the SRA would be easy for me.")</f>
        <v>Learning to apply the SRA would be easy for me.</v>
      </c>
      <c r="B39" s="14">
        <f>IFERROR(__xludf.DUMMYFUNCTION("""COMPUTED_VALUE"""),5.0)</f>
        <v>5</v>
      </c>
      <c r="D39" s="13" t="str">
        <f>IFERROR(__xludf.DUMMYFUNCTION("""COMPUTED_VALUE"""),"Using the SRA for developing a new NLP4RE tool would enable me to accomplish tasks more quickly.")</f>
        <v>Using the SRA for developing a new NLP4RE tool would enable me to accomplish tasks more quickly.</v>
      </c>
      <c r="E39" s="14">
        <f>IFERROR(__xludf.DUMMYFUNCTION("""COMPUTED_VALUE"""),6.0)</f>
        <v>6</v>
      </c>
      <c r="G39" s="13" t="str">
        <f>IFERROR(__xludf.DUMMYFUNCTION("""COMPUTED_VALUE"""),"I intend to use the SRA when developing an NLP4RE tool in the future.")</f>
        <v>I intend to use the SRA when developing an NLP4RE tool in the future.</v>
      </c>
      <c r="H39" s="14">
        <f>IFERROR(__xludf.DUMMYFUNCTION("""COMPUTED_VALUE"""),1.0)</f>
        <v>1</v>
      </c>
      <c r="J39"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39" s="14">
        <f>IFERROR(__xludf.DUMMYFUNCTION("""COMPUTED_VALUE"""),6.0)</f>
        <v>6</v>
      </c>
    </row>
    <row r="40">
      <c r="A40" s="13" t="str">
        <f>IFERROR(__xludf.DUMMYFUNCTION("""COMPUTED_VALUE"""),"I would find it easy to get the information I need out of the SRA.")</f>
        <v>I would find it easy to get the information I need out of the SRA.</v>
      </c>
      <c r="B40" s="14">
        <f>IFERROR(__xludf.DUMMYFUNCTION("""COMPUTED_VALUE"""),5.0)</f>
        <v>5</v>
      </c>
      <c r="D40" s="13" t="str">
        <f>IFERROR(__xludf.DUMMYFUNCTION("""COMPUTED_VALUE"""),"Using the SRA would improve my performance when developing an NLP4RE tool.")</f>
        <v>Using the SRA would improve my performance when developing an NLP4RE tool.</v>
      </c>
      <c r="E40" s="14">
        <f>IFERROR(__xludf.DUMMYFUNCTION("""COMPUTED_VALUE"""),6.0)</f>
        <v>6</v>
      </c>
      <c r="G40" s="13" t="str">
        <f>IFERROR(__xludf.DUMMYFUNCTION("""COMPUTED_VALUE"""),"I intend to recommend colleagues, students, or others to use the SRA when developing a new NLP4RE tool.")</f>
        <v>I intend to recommend colleagues, students, or others to use the SRA when developing a new NLP4RE tool.</v>
      </c>
      <c r="H40" s="14">
        <f>IFERROR(__xludf.DUMMYFUNCTION("""COMPUTED_VALUE"""),1.0)</f>
        <v>1</v>
      </c>
      <c r="J40"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40" s="14">
        <f>IFERROR(__xludf.DUMMYFUNCTION("""COMPUTED_VALUE"""),4.0)</f>
        <v>4</v>
      </c>
    </row>
    <row r="41">
      <c r="A41" s="13" t="str">
        <f>IFERROR(__xludf.DUMMYFUNCTION("""COMPUTED_VALUE"""),"My interaction with the SRA would be clear and understandable.")</f>
        <v>My interaction with the SRA would be clear and understandable.</v>
      </c>
      <c r="B41" s="14">
        <f>IFERROR(__xludf.DUMMYFUNCTION("""COMPUTED_VALUE"""),5.0)</f>
        <v>5</v>
      </c>
      <c r="D41" s="13" t="str">
        <f>IFERROR(__xludf.DUMMYFUNCTION("""COMPUTED_VALUE"""),"Using the SRA when developing a new NLP4RE tool would increase my productivity.")</f>
        <v>Using the SRA when developing a new NLP4RE tool would increase my productivity.</v>
      </c>
      <c r="E41" s="14">
        <f>IFERROR(__xludf.DUMMYFUNCTION("""COMPUTED_VALUE"""),6.0)</f>
        <v>6</v>
      </c>
      <c r="G41" s="13" t="str">
        <f>IFERROR(__xludf.DUMMYFUNCTION("""COMPUTED_VALUE"""),"I intend to re-implement an existing NLP4RE tool using the SRA.")</f>
        <v>I intend to re-implement an existing NLP4RE tool using the SRA.</v>
      </c>
      <c r="H41" s="14">
        <f>IFERROR(__xludf.DUMMYFUNCTION("""COMPUTED_VALUE"""),1.0)</f>
        <v>1</v>
      </c>
      <c r="J41"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41" s="14">
        <f>IFERROR(__xludf.DUMMYFUNCTION("""COMPUTED_VALUE"""),4.0)</f>
        <v>4</v>
      </c>
    </row>
    <row r="42">
      <c r="A42" s="13" t="str">
        <f>IFERROR(__xludf.DUMMYFUNCTION("""COMPUTED_VALUE"""),"I would find SRA to be flexible to interact with.")</f>
        <v>I would find SRA to be flexible to interact with.</v>
      </c>
      <c r="B42" s="14">
        <f>IFERROR(__xludf.DUMMYFUNCTION("""COMPUTED_VALUE"""),5.0)</f>
        <v>5</v>
      </c>
      <c r="D42" s="13" t="str">
        <f>IFERROR(__xludf.DUMMYFUNCTION("""COMPUTED_VALUE"""),"Using the SRA would enhance my effectiveness when developing a new NLP4RE tool.")</f>
        <v>Using the SRA would enhance my effectiveness when developing a new NLP4RE tool.</v>
      </c>
      <c r="E42" s="14">
        <f>IFERROR(__xludf.DUMMYFUNCTION("""COMPUTED_VALUE"""),6.0)</f>
        <v>6</v>
      </c>
      <c r="G42" s="13" t="str">
        <f>IFERROR(__xludf.DUMMYFUNCTION("""COMPUTED_VALUE"""),"I intend to use the SRA when developing an NLP4RE tool in the future.")</f>
        <v>I intend to use the SRA when developing an NLP4RE tool in the future.</v>
      </c>
      <c r="H42" s="14">
        <f>IFERROR(__xludf.DUMMYFUNCTION("""COMPUTED_VALUE"""),5.0)</f>
        <v>5</v>
      </c>
      <c r="J42"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42" s="14">
        <f>IFERROR(__xludf.DUMMYFUNCTION("""COMPUTED_VALUE"""),6.0)</f>
        <v>6</v>
      </c>
    </row>
    <row r="43">
      <c r="A43" s="13" t="str">
        <f>IFERROR(__xludf.DUMMYFUNCTION("""COMPUTED_VALUE"""),"It would be easy for me to become skillful at using the SRA.")</f>
        <v>It would be easy for me to become skillful at using the SRA.</v>
      </c>
      <c r="B43" s="14">
        <f>IFERROR(__xludf.DUMMYFUNCTION("""COMPUTED_VALUE"""),4.0)</f>
        <v>4</v>
      </c>
      <c r="D43" s="13" t="str">
        <f>IFERROR(__xludf.DUMMYFUNCTION("""COMPUTED_VALUE"""),"Using the SRA would make it easier to develop a new NLP4RE tool.")</f>
        <v>Using the SRA would make it easier to develop a new NLP4RE tool.</v>
      </c>
      <c r="E43" s="14">
        <f>IFERROR(__xludf.DUMMYFUNCTION("""COMPUTED_VALUE"""),6.0)</f>
        <v>6</v>
      </c>
      <c r="G43" s="13" t="str">
        <f>IFERROR(__xludf.DUMMYFUNCTION("""COMPUTED_VALUE"""),"I intend to recommend colleagues, students, or others to use the SRA when developing a new NLP4RE tool.")</f>
        <v>I intend to recommend colleagues, students, or others to use the SRA when developing a new NLP4RE tool.</v>
      </c>
      <c r="H43" s="14">
        <f>IFERROR(__xludf.DUMMYFUNCTION("""COMPUTED_VALUE"""),4.0)</f>
        <v>4</v>
      </c>
      <c r="J43"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43" s="14">
        <f>IFERROR(__xludf.DUMMYFUNCTION("""COMPUTED_VALUE"""),7.0)</f>
        <v>7</v>
      </c>
    </row>
    <row r="44">
      <c r="A44" s="13" t="str">
        <f>IFERROR(__xludf.DUMMYFUNCTION("""COMPUTED_VALUE"""),"I would find the SRA easy to use.")</f>
        <v>I would find the SRA easy to use.</v>
      </c>
      <c r="B44" s="14">
        <f>IFERROR(__xludf.DUMMYFUNCTION("""COMPUTED_VALUE"""),5.0)</f>
        <v>5</v>
      </c>
      <c r="D44" s="13" t="str">
        <f>IFERROR(__xludf.DUMMYFUNCTION("""COMPUTED_VALUE"""),"I would find the SRA useful for developing a new NLP4RE tool.")</f>
        <v>I would find the SRA useful for developing a new NLP4RE tool.</v>
      </c>
      <c r="E44" s="14">
        <f>IFERROR(__xludf.DUMMYFUNCTION("""COMPUTED_VALUE"""),7.0)</f>
        <v>7</v>
      </c>
      <c r="G44" s="13" t="str">
        <f>IFERROR(__xludf.DUMMYFUNCTION("""COMPUTED_VALUE"""),"I intend to re-implement an existing NLP4RE tool using the SRA.")</f>
        <v>I intend to re-implement an existing NLP4RE tool using the SRA.</v>
      </c>
      <c r="H44" s="14">
        <f>IFERROR(__xludf.DUMMYFUNCTION("""COMPUTED_VALUE"""),2.0)</f>
        <v>2</v>
      </c>
      <c r="J44"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44" s="14">
        <f>IFERROR(__xludf.DUMMYFUNCTION("""COMPUTED_VALUE"""),6.0)</f>
        <v>6</v>
      </c>
    </row>
    <row r="45">
      <c r="A45" s="13" t="str">
        <f>IFERROR(__xludf.DUMMYFUNCTION("""COMPUTED_VALUE"""),"Learning to apply the SRA would be easy for me.")</f>
        <v>Learning to apply the SRA would be easy for me.</v>
      </c>
      <c r="B45" s="14">
        <f>IFERROR(__xludf.DUMMYFUNCTION("""COMPUTED_VALUE"""),6.0)</f>
        <v>6</v>
      </c>
      <c r="D45" s="13" t="str">
        <f>IFERROR(__xludf.DUMMYFUNCTION("""COMPUTED_VALUE"""),"Using the SRA for developing a new NLP4RE tool would enable me to accomplish tasks more quickly.")</f>
        <v>Using the SRA for developing a new NLP4RE tool would enable me to accomplish tasks more quickly.</v>
      </c>
      <c r="E45" s="14">
        <f>IFERROR(__xludf.DUMMYFUNCTION("""COMPUTED_VALUE"""),7.0)</f>
        <v>7</v>
      </c>
      <c r="G45" s="13" t="str">
        <f>IFERROR(__xludf.DUMMYFUNCTION("""COMPUTED_VALUE"""),"I intend to use the SRA when developing an NLP4RE tool in the future.")</f>
        <v>I intend to use the SRA when developing an NLP4RE tool in the future.</v>
      </c>
      <c r="H45" s="14">
        <f>IFERROR(__xludf.DUMMYFUNCTION("""COMPUTED_VALUE"""),4.0)</f>
        <v>4</v>
      </c>
      <c r="J45"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45" s="14">
        <f>IFERROR(__xludf.DUMMYFUNCTION("""COMPUTED_VALUE"""),7.0)</f>
        <v>7</v>
      </c>
    </row>
    <row r="46">
      <c r="A46" s="13" t="str">
        <f>IFERROR(__xludf.DUMMYFUNCTION("""COMPUTED_VALUE"""),"I would find it easy to get the information I need out of the SRA.")</f>
        <v>I would find it easy to get the information I need out of the SRA.</v>
      </c>
      <c r="B46" s="14">
        <f>IFERROR(__xludf.DUMMYFUNCTION("""COMPUTED_VALUE"""),7.0)</f>
        <v>7</v>
      </c>
      <c r="D46" s="13" t="str">
        <f>IFERROR(__xludf.DUMMYFUNCTION("""COMPUTED_VALUE"""),"Using the SRA would improve my performance when developing an NLP4RE tool.")</f>
        <v>Using the SRA would improve my performance when developing an NLP4RE tool.</v>
      </c>
      <c r="E46" s="14">
        <f>IFERROR(__xludf.DUMMYFUNCTION("""COMPUTED_VALUE"""),7.0)</f>
        <v>7</v>
      </c>
      <c r="G46" s="13" t="str">
        <f>IFERROR(__xludf.DUMMYFUNCTION("""COMPUTED_VALUE"""),"I intend to recommend colleagues, students, or others to use the SRA when developing a new NLP4RE tool.")</f>
        <v>I intend to recommend colleagues, students, or others to use the SRA when developing a new NLP4RE tool.</v>
      </c>
      <c r="H46" s="14">
        <f>IFERROR(__xludf.DUMMYFUNCTION("""COMPUTED_VALUE"""),6.0)</f>
        <v>6</v>
      </c>
      <c r="J46"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46" s="14">
        <f>IFERROR(__xludf.DUMMYFUNCTION("""COMPUTED_VALUE"""),5.0)</f>
        <v>5</v>
      </c>
    </row>
    <row r="47">
      <c r="A47" s="13" t="str">
        <f>IFERROR(__xludf.DUMMYFUNCTION("""COMPUTED_VALUE"""),"My interaction with the SRA would be clear and understandable.")</f>
        <v>My interaction with the SRA would be clear and understandable.</v>
      </c>
      <c r="B47" s="14">
        <f>IFERROR(__xludf.DUMMYFUNCTION("""COMPUTED_VALUE"""),6.0)</f>
        <v>6</v>
      </c>
      <c r="D47" s="13" t="str">
        <f>IFERROR(__xludf.DUMMYFUNCTION("""COMPUTED_VALUE"""),"Using the SRA when developing a new NLP4RE tool would increase my productivity.")</f>
        <v>Using the SRA when developing a new NLP4RE tool would increase my productivity.</v>
      </c>
      <c r="E47" s="14">
        <f>IFERROR(__xludf.DUMMYFUNCTION("""COMPUTED_VALUE"""),6.0)</f>
        <v>6</v>
      </c>
      <c r="G47" s="13" t="str">
        <f>IFERROR(__xludf.DUMMYFUNCTION("""COMPUTED_VALUE"""),"I intend to re-implement an existing NLP4RE tool using the SRA.")</f>
        <v>I intend to re-implement an existing NLP4RE tool using the SRA.</v>
      </c>
      <c r="H47" s="14">
        <f>IFERROR(__xludf.DUMMYFUNCTION("""COMPUTED_VALUE"""),1.0)</f>
        <v>1</v>
      </c>
      <c r="J47"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47" s="14">
        <f>IFERROR(__xludf.DUMMYFUNCTION("""COMPUTED_VALUE"""),5.0)</f>
        <v>5</v>
      </c>
    </row>
    <row r="48">
      <c r="A48" s="13" t="str">
        <f>IFERROR(__xludf.DUMMYFUNCTION("""COMPUTED_VALUE"""),"I would find SRA to be flexible to interact with.")</f>
        <v>I would find SRA to be flexible to interact with.</v>
      </c>
      <c r="B48" s="14">
        <f>IFERROR(__xludf.DUMMYFUNCTION("""COMPUTED_VALUE"""),6.0)</f>
        <v>6</v>
      </c>
      <c r="D48" s="13" t="str">
        <f>IFERROR(__xludf.DUMMYFUNCTION("""COMPUTED_VALUE"""),"Using the SRA would enhance my effectiveness when developing a new NLP4RE tool.")</f>
        <v>Using the SRA would enhance my effectiveness when developing a new NLP4RE tool.</v>
      </c>
      <c r="E48" s="14">
        <f>IFERROR(__xludf.DUMMYFUNCTION("""COMPUTED_VALUE"""),6.0)</f>
        <v>6</v>
      </c>
      <c r="G48" s="13" t="str">
        <f>IFERROR(__xludf.DUMMYFUNCTION("""COMPUTED_VALUE"""),"I intend to use the SRA when developing an NLP4RE tool in the future.")</f>
        <v>I intend to use the SRA when developing an NLP4RE tool in the future.</v>
      </c>
      <c r="H48" s="14">
        <f>IFERROR(__xludf.DUMMYFUNCTION("""COMPUTED_VALUE"""),4.0)</f>
        <v>4</v>
      </c>
      <c r="J48"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48" s="14">
        <f>IFERROR(__xludf.DUMMYFUNCTION("""COMPUTED_VALUE"""),5.0)</f>
        <v>5</v>
      </c>
    </row>
    <row r="49">
      <c r="A49" s="13" t="str">
        <f>IFERROR(__xludf.DUMMYFUNCTION("""COMPUTED_VALUE"""),"It would be easy for me to become skillful at using the SRA.")</f>
        <v>It would be easy for me to become skillful at using the SRA.</v>
      </c>
      <c r="B49" s="14">
        <f>IFERROR(__xludf.DUMMYFUNCTION("""COMPUTED_VALUE"""),6.0)</f>
        <v>6</v>
      </c>
      <c r="D49" s="13" t="str">
        <f>IFERROR(__xludf.DUMMYFUNCTION("""COMPUTED_VALUE"""),"Using the SRA would make it easier to develop a new NLP4RE tool.")</f>
        <v>Using the SRA would make it easier to develop a new NLP4RE tool.</v>
      </c>
      <c r="E49" s="14">
        <f>IFERROR(__xludf.DUMMYFUNCTION("""COMPUTED_VALUE"""),6.0)</f>
        <v>6</v>
      </c>
      <c r="G49" s="13" t="str">
        <f>IFERROR(__xludf.DUMMYFUNCTION("""COMPUTED_VALUE"""),"I intend to recommend colleagues, students, or others to use the SRA when developing a new NLP4RE tool.")</f>
        <v>I intend to recommend colleagues, students, or others to use the SRA when developing a new NLP4RE tool.</v>
      </c>
      <c r="H49" s="14">
        <f>IFERROR(__xludf.DUMMYFUNCTION("""COMPUTED_VALUE"""),4.0)</f>
        <v>4</v>
      </c>
      <c r="J49"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49" s="14">
        <f>IFERROR(__xludf.DUMMYFUNCTION("""COMPUTED_VALUE"""),5.0)</f>
        <v>5</v>
      </c>
    </row>
    <row r="50">
      <c r="A50" s="13" t="str">
        <f>IFERROR(__xludf.DUMMYFUNCTION("""COMPUTED_VALUE"""),"I would find the SRA easy to use.")</f>
        <v>I would find the SRA easy to use.</v>
      </c>
      <c r="B50" s="14">
        <f>IFERROR(__xludf.DUMMYFUNCTION("""COMPUTED_VALUE"""),6.0)</f>
        <v>6</v>
      </c>
      <c r="D50" s="13" t="str">
        <f>IFERROR(__xludf.DUMMYFUNCTION("""COMPUTED_VALUE"""),"I would find the SRA useful for developing a new NLP4RE tool.")</f>
        <v>I would find the SRA useful for developing a new NLP4RE tool.</v>
      </c>
      <c r="E50" s="14">
        <f>IFERROR(__xludf.DUMMYFUNCTION("""COMPUTED_VALUE"""),7.0)</f>
        <v>7</v>
      </c>
      <c r="G50" s="13" t="str">
        <f>IFERROR(__xludf.DUMMYFUNCTION("""COMPUTED_VALUE"""),"I intend to re-implement an existing NLP4RE tool using the SRA.")</f>
        <v>I intend to re-implement an existing NLP4RE tool using the SRA.</v>
      </c>
      <c r="H50" s="14">
        <f>IFERROR(__xludf.DUMMYFUNCTION("""COMPUTED_VALUE"""),3.0)</f>
        <v>3</v>
      </c>
      <c r="J50"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50" s="14">
        <f>IFERROR(__xludf.DUMMYFUNCTION("""COMPUTED_VALUE"""),5.0)</f>
        <v>5</v>
      </c>
    </row>
    <row r="51">
      <c r="A51" s="13" t="str">
        <f>IFERROR(__xludf.DUMMYFUNCTION("""COMPUTED_VALUE"""),"Learning to apply the SRA would be easy for me.")</f>
        <v>Learning to apply the SRA would be easy for me.</v>
      </c>
      <c r="B51" s="14">
        <f>IFERROR(__xludf.DUMMYFUNCTION("""COMPUTED_VALUE"""),3.0)</f>
        <v>3</v>
      </c>
      <c r="D51" s="13" t="str">
        <f>IFERROR(__xludf.DUMMYFUNCTION("""COMPUTED_VALUE"""),"Using the SRA for developing a new NLP4RE tool would enable me to accomplish tasks more quickly.")</f>
        <v>Using the SRA for developing a new NLP4RE tool would enable me to accomplish tasks more quickly.</v>
      </c>
      <c r="E51" s="14">
        <f>IFERROR(__xludf.DUMMYFUNCTION("""COMPUTED_VALUE"""),6.0)</f>
        <v>6</v>
      </c>
      <c r="G51" s="13" t="str">
        <f>IFERROR(__xludf.DUMMYFUNCTION("""COMPUTED_VALUE"""),"I intend to use the SRA when developing an NLP4RE tool in the future.")</f>
        <v>I intend to use the SRA when developing an NLP4RE tool in the future.</v>
      </c>
      <c r="H51" s="14">
        <f>IFERROR(__xludf.DUMMYFUNCTION("""COMPUTED_VALUE"""),4.0)</f>
        <v>4</v>
      </c>
      <c r="J51"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51" s="14">
        <f>IFERROR(__xludf.DUMMYFUNCTION("""COMPUTED_VALUE"""),1.0)</f>
        <v>1</v>
      </c>
    </row>
    <row r="52">
      <c r="A52" s="13" t="str">
        <f>IFERROR(__xludf.DUMMYFUNCTION("""COMPUTED_VALUE"""),"I would find it easy to get the information I need out of the SRA.")</f>
        <v>I would find it easy to get the information I need out of the SRA.</v>
      </c>
      <c r="B52" s="14">
        <f>IFERROR(__xludf.DUMMYFUNCTION("""COMPUTED_VALUE"""),5.0)</f>
        <v>5</v>
      </c>
      <c r="D52" s="13" t="str">
        <f>IFERROR(__xludf.DUMMYFUNCTION("""COMPUTED_VALUE"""),"Using the SRA would improve my performance when developing an NLP4RE tool.")</f>
        <v>Using the SRA would improve my performance when developing an NLP4RE tool.</v>
      </c>
      <c r="E52" s="14">
        <f>IFERROR(__xludf.DUMMYFUNCTION("""COMPUTED_VALUE"""),6.0)</f>
        <v>6</v>
      </c>
      <c r="G52" s="13" t="str">
        <f>IFERROR(__xludf.DUMMYFUNCTION("""COMPUTED_VALUE"""),"I intend to recommend colleagues, students, or others to use the SRA when developing a new NLP4RE tool.")</f>
        <v>I intend to recommend colleagues, students, or others to use the SRA when developing a new NLP4RE tool.</v>
      </c>
      <c r="H52" s="14">
        <f>IFERROR(__xludf.DUMMYFUNCTION("""COMPUTED_VALUE"""),4.0)</f>
        <v>4</v>
      </c>
      <c r="J52"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52" s="14">
        <f>IFERROR(__xludf.DUMMYFUNCTION("""COMPUTED_VALUE"""),1.0)</f>
        <v>1</v>
      </c>
    </row>
    <row r="53">
      <c r="A53" s="13" t="str">
        <f>IFERROR(__xludf.DUMMYFUNCTION("""COMPUTED_VALUE"""),"My interaction with the SRA would be clear and understandable.")</f>
        <v>My interaction with the SRA would be clear and understandable.</v>
      </c>
      <c r="B53" s="14">
        <f>IFERROR(__xludf.DUMMYFUNCTION("""COMPUTED_VALUE"""),4.0)</f>
        <v>4</v>
      </c>
      <c r="D53" s="13" t="str">
        <f>IFERROR(__xludf.DUMMYFUNCTION("""COMPUTED_VALUE"""),"Using the SRA when developing a new NLP4RE tool would increase my productivity.")</f>
        <v>Using the SRA when developing a new NLP4RE tool would increase my productivity.</v>
      </c>
      <c r="E53" s="14">
        <f>IFERROR(__xludf.DUMMYFUNCTION("""COMPUTED_VALUE"""),4.0)</f>
        <v>4</v>
      </c>
      <c r="G53" s="13" t="str">
        <f>IFERROR(__xludf.DUMMYFUNCTION("""COMPUTED_VALUE"""),"I intend to re-implement an existing NLP4RE tool using the SRA.")</f>
        <v>I intend to re-implement an existing NLP4RE tool using the SRA.</v>
      </c>
      <c r="H53" s="14">
        <f>IFERROR(__xludf.DUMMYFUNCTION("""COMPUTED_VALUE"""),1.0)</f>
        <v>1</v>
      </c>
      <c r="J53"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53" s="14">
        <f>IFERROR(__xludf.DUMMYFUNCTION("""COMPUTED_VALUE"""),1.0)</f>
        <v>1</v>
      </c>
    </row>
    <row r="54">
      <c r="A54" s="13" t="str">
        <f>IFERROR(__xludf.DUMMYFUNCTION("""COMPUTED_VALUE"""),"I would find SRA to be flexible to interact with.")</f>
        <v>I would find SRA to be flexible to interact with.</v>
      </c>
      <c r="B54" s="14">
        <f>IFERROR(__xludf.DUMMYFUNCTION("""COMPUTED_VALUE"""),2.0)</f>
        <v>2</v>
      </c>
      <c r="D54" s="13" t="str">
        <f>IFERROR(__xludf.DUMMYFUNCTION("""COMPUTED_VALUE"""),"Using the SRA would enhance my effectiveness when developing a new NLP4RE tool.")</f>
        <v>Using the SRA would enhance my effectiveness when developing a new NLP4RE tool.</v>
      </c>
      <c r="E54" s="14">
        <f>IFERROR(__xludf.DUMMYFUNCTION("""COMPUTED_VALUE"""),4.0)</f>
        <v>4</v>
      </c>
      <c r="G54" s="13" t="str">
        <f>IFERROR(__xludf.DUMMYFUNCTION("""COMPUTED_VALUE"""),"I intend to use the SRA when developing an NLP4RE tool in the future.")</f>
        <v>I intend to use the SRA when developing an NLP4RE tool in the future.</v>
      </c>
      <c r="H54" s="14">
        <f>IFERROR(__xludf.DUMMYFUNCTION("""COMPUTED_VALUE"""),7.0)</f>
        <v>7</v>
      </c>
      <c r="J54"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54" s="14">
        <f>IFERROR(__xludf.DUMMYFUNCTION("""COMPUTED_VALUE"""),1.0)</f>
        <v>1</v>
      </c>
    </row>
    <row r="55">
      <c r="A55" s="13" t="str">
        <f>IFERROR(__xludf.DUMMYFUNCTION("""COMPUTED_VALUE"""),"It would be easy for me to become skillful at using the SRA.")</f>
        <v>It would be easy for me to become skillful at using the SRA.</v>
      </c>
      <c r="B55" s="14">
        <f>IFERROR(__xludf.DUMMYFUNCTION("""COMPUTED_VALUE"""),4.0)</f>
        <v>4</v>
      </c>
      <c r="D55" s="13" t="str">
        <f>IFERROR(__xludf.DUMMYFUNCTION("""COMPUTED_VALUE"""),"Using the SRA would make it easier to develop a new NLP4RE tool.")</f>
        <v>Using the SRA would make it easier to develop a new NLP4RE tool.</v>
      </c>
      <c r="E55" s="14">
        <f>IFERROR(__xludf.DUMMYFUNCTION("""COMPUTED_VALUE"""),5.0)</f>
        <v>5</v>
      </c>
      <c r="G55" s="13" t="str">
        <f>IFERROR(__xludf.DUMMYFUNCTION("""COMPUTED_VALUE"""),"I intend to recommend colleagues, students, or others to use the SRA when developing a new NLP4RE tool.")</f>
        <v>I intend to recommend colleagues, students, or others to use the SRA when developing a new NLP4RE tool.</v>
      </c>
      <c r="H55" s="14">
        <f>IFERROR(__xludf.DUMMYFUNCTION("""COMPUTED_VALUE"""),7.0)</f>
        <v>7</v>
      </c>
      <c r="J55"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55" s="14">
        <f>IFERROR(__xludf.DUMMYFUNCTION("""COMPUTED_VALUE"""),6.0)</f>
        <v>6</v>
      </c>
    </row>
    <row r="56">
      <c r="A56" s="13" t="str">
        <f>IFERROR(__xludf.DUMMYFUNCTION("""COMPUTED_VALUE"""),"I would find the SRA easy to use.")</f>
        <v>I would find the SRA easy to use.</v>
      </c>
      <c r="B56" s="14">
        <f>IFERROR(__xludf.DUMMYFUNCTION("""COMPUTED_VALUE"""),4.0)</f>
        <v>4</v>
      </c>
      <c r="D56" s="13" t="str">
        <f>IFERROR(__xludf.DUMMYFUNCTION("""COMPUTED_VALUE"""),"I would find the SRA useful for developing a new NLP4RE tool.")</f>
        <v>I would find the SRA useful for developing a new NLP4RE tool.</v>
      </c>
      <c r="E56" s="14">
        <f>IFERROR(__xludf.DUMMYFUNCTION("""COMPUTED_VALUE"""),6.0)</f>
        <v>6</v>
      </c>
      <c r="G56" s="13" t="str">
        <f>IFERROR(__xludf.DUMMYFUNCTION("""COMPUTED_VALUE"""),"I intend to re-implement an existing NLP4RE tool using the SRA.")</f>
        <v>I intend to re-implement an existing NLP4RE tool using the SRA.</v>
      </c>
      <c r="H56" s="14">
        <f>IFERROR(__xludf.DUMMYFUNCTION("""COMPUTED_VALUE"""),5.0)</f>
        <v>5</v>
      </c>
      <c r="J56"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56" s="14">
        <f>IFERROR(__xludf.DUMMYFUNCTION("""COMPUTED_VALUE"""),2.0)</f>
        <v>2</v>
      </c>
    </row>
    <row r="57">
      <c r="A57" s="13" t="str">
        <f>IFERROR(__xludf.DUMMYFUNCTION("""COMPUTED_VALUE"""),"Learning to apply the SRA would be easy for me.")</f>
        <v>Learning to apply the SRA would be easy for me.</v>
      </c>
      <c r="B57" s="14">
        <f>IFERROR(__xludf.DUMMYFUNCTION("""COMPUTED_VALUE"""),5.0)</f>
        <v>5</v>
      </c>
      <c r="D57" s="13" t="str">
        <f>IFERROR(__xludf.DUMMYFUNCTION("""COMPUTED_VALUE"""),"Using the SRA for developing a new NLP4RE tool would enable me to accomplish tasks more quickly.")</f>
        <v>Using the SRA for developing a new NLP4RE tool would enable me to accomplish tasks more quickly.</v>
      </c>
      <c r="E57" s="14">
        <f>IFERROR(__xludf.DUMMYFUNCTION("""COMPUTED_VALUE"""),5.0)</f>
        <v>5</v>
      </c>
      <c r="G57" s="13" t="str">
        <f>IFERROR(__xludf.DUMMYFUNCTION("""COMPUTED_VALUE"""),"I intend to use the SRA when developing an NLP4RE tool in the future.")</f>
        <v>I intend to use the SRA when developing an NLP4RE tool in the future.</v>
      </c>
      <c r="H57" s="14">
        <f>IFERROR(__xludf.DUMMYFUNCTION("""COMPUTED_VALUE"""),5.0)</f>
        <v>5</v>
      </c>
      <c r="J57"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57" s="14">
        <f>IFERROR(__xludf.DUMMYFUNCTION("""COMPUTED_VALUE"""),5.0)</f>
        <v>5</v>
      </c>
    </row>
    <row r="58">
      <c r="A58" s="13" t="str">
        <f>IFERROR(__xludf.DUMMYFUNCTION("""COMPUTED_VALUE"""),"I would find it easy to get the information I need out of the SRA.")</f>
        <v>I would find it easy to get the information I need out of the SRA.</v>
      </c>
      <c r="B58" s="14">
        <f>IFERROR(__xludf.DUMMYFUNCTION("""COMPUTED_VALUE"""),4.0)</f>
        <v>4</v>
      </c>
      <c r="D58" s="13" t="str">
        <f>IFERROR(__xludf.DUMMYFUNCTION("""COMPUTED_VALUE"""),"Using the SRA would improve my performance when developing an NLP4RE tool.")</f>
        <v>Using the SRA would improve my performance when developing an NLP4RE tool.</v>
      </c>
      <c r="E58" s="14">
        <f>IFERROR(__xludf.DUMMYFUNCTION("""COMPUTED_VALUE"""),5.0)</f>
        <v>5</v>
      </c>
      <c r="G58" s="13" t="str">
        <f>IFERROR(__xludf.DUMMYFUNCTION("""COMPUTED_VALUE"""),"I intend to recommend colleagues, students, or others to use the SRA when developing a new NLP4RE tool.")</f>
        <v>I intend to recommend colleagues, students, or others to use the SRA when developing a new NLP4RE tool.</v>
      </c>
      <c r="H58" s="14">
        <f>IFERROR(__xludf.DUMMYFUNCTION("""COMPUTED_VALUE"""),5.0)</f>
        <v>5</v>
      </c>
      <c r="J58"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58" s="14">
        <f>IFERROR(__xludf.DUMMYFUNCTION("""COMPUTED_VALUE"""),3.0)</f>
        <v>3</v>
      </c>
    </row>
    <row r="59">
      <c r="A59" s="13" t="str">
        <f>IFERROR(__xludf.DUMMYFUNCTION("""COMPUTED_VALUE"""),"My interaction with the SRA would be clear and understandable.")</f>
        <v>My interaction with the SRA would be clear and understandable.</v>
      </c>
      <c r="B59" s="14">
        <f>IFERROR(__xludf.DUMMYFUNCTION("""COMPUTED_VALUE"""),4.0)</f>
        <v>4</v>
      </c>
      <c r="D59" s="13" t="str">
        <f>IFERROR(__xludf.DUMMYFUNCTION("""COMPUTED_VALUE"""),"Using the SRA when developing a new NLP4RE tool would increase my productivity.")</f>
        <v>Using the SRA when developing a new NLP4RE tool would increase my productivity.</v>
      </c>
      <c r="E59" s="14">
        <f>IFERROR(__xludf.DUMMYFUNCTION("""COMPUTED_VALUE"""),4.0)</f>
        <v>4</v>
      </c>
      <c r="G59" s="13" t="str">
        <f>IFERROR(__xludf.DUMMYFUNCTION("""COMPUTED_VALUE"""),"I intend to re-implement an existing NLP4RE tool using the SRA.")</f>
        <v>I intend to re-implement an existing NLP4RE tool using the SRA.</v>
      </c>
      <c r="H59" s="14">
        <f>IFERROR(__xludf.DUMMYFUNCTION("""COMPUTED_VALUE"""),2.0)</f>
        <v>2</v>
      </c>
      <c r="J59"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59" s="14">
        <f>IFERROR(__xludf.DUMMYFUNCTION("""COMPUTED_VALUE"""),6.0)</f>
        <v>6</v>
      </c>
    </row>
    <row r="60">
      <c r="A60" s="13" t="str">
        <f>IFERROR(__xludf.DUMMYFUNCTION("""COMPUTED_VALUE"""),"I would find SRA to be flexible to interact with.")</f>
        <v>I would find SRA to be flexible to interact with.</v>
      </c>
      <c r="B60" s="14">
        <f>IFERROR(__xludf.DUMMYFUNCTION("""COMPUTED_VALUE"""),5.0)</f>
        <v>5</v>
      </c>
      <c r="D60" s="13" t="str">
        <f>IFERROR(__xludf.DUMMYFUNCTION("""COMPUTED_VALUE"""),"Using the SRA would enhance my effectiveness when developing a new NLP4RE tool.")</f>
        <v>Using the SRA would enhance my effectiveness when developing a new NLP4RE tool.</v>
      </c>
      <c r="E60" s="14">
        <f>IFERROR(__xludf.DUMMYFUNCTION("""COMPUTED_VALUE"""),5.0)</f>
        <v>5</v>
      </c>
      <c r="G60" s="13" t="str">
        <f>IFERROR(__xludf.DUMMYFUNCTION("""COMPUTED_VALUE"""),"I intend to use the SRA when developing an NLP4RE tool in the future.")</f>
        <v>I intend to use the SRA when developing an NLP4RE tool in the future.</v>
      </c>
      <c r="H60" s="14">
        <f>IFERROR(__xludf.DUMMYFUNCTION("""COMPUTED_VALUE"""),6.0)</f>
        <v>6</v>
      </c>
      <c r="J60"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60" s="14">
        <f>IFERROR(__xludf.DUMMYFUNCTION("""COMPUTED_VALUE"""),5.0)</f>
        <v>5</v>
      </c>
    </row>
    <row r="61">
      <c r="A61" s="13" t="str">
        <f>IFERROR(__xludf.DUMMYFUNCTION("""COMPUTED_VALUE"""),"It would be easy for me to become skillful at using the SRA.")</f>
        <v>It would be easy for me to become skillful at using the SRA.</v>
      </c>
      <c r="B61" s="14">
        <f>IFERROR(__xludf.DUMMYFUNCTION("""COMPUTED_VALUE"""),5.0)</f>
        <v>5</v>
      </c>
      <c r="D61" s="13" t="str">
        <f>IFERROR(__xludf.DUMMYFUNCTION("""COMPUTED_VALUE"""),"Using the SRA would make it easier to develop a new NLP4RE tool.")</f>
        <v>Using the SRA would make it easier to develop a new NLP4RE tool.</v>
      </c>
      <c r="E61" s="14">
        <f>IFERROR(__xludf.DUMMYFUNCTION("""COMPUTED_VALUE"""),5.0)</f>
        <v>5</v>
      </c>
      <c r="G61" s="13" t="str">
        <f>IFERROR(__xludf.DUMMYFUNCTION("""COMPUTED_VALUE"""),"I intend to recommend colleagues, students, or others to use the SRA when developing a new NLP4RE tool.")</f>
        <v>I intend to recommend colleagues, students, or others to use the SRA when developing a new NLP4RE tool.</v>
      </c>
      <c r="H61" s="14">
        <f>IFERROR(__xludf.DUMMYFUNCTION("""COMPUTED_VALUE"""),6.0)</f>
        <v>6</v>
      </c>
      <c r="J61"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61" s="14">
        <f>IFERROR(__xludf.DUMMYFUNCTION("""COMPUTED_VALUE"""),6.0)</f>
        <v>6</v>
      </c>
    </row>
    <row r="62">
      <c r="A62" s="13" t="str">
        <f>IFERROR(__xludf.DUMMYFUNCTION("""COMPUTED_VALUE"""),"I would find the SRA easy to use.")</f>
        <v>I would find the SRA easy to use.</v>
      </c>
      <c r="B62" s="14">
        <f>IFERROR(__xludf.DUMMYFUNCTION("""COMPUTED_VALUE"""),4.0)</f>
        <v>4</v>
      </c>
      <c r="D62" s="13" t="str">
        <f>IFERROR(__xludf.DUMMYFUNCTION("""COMPUTED_VALUE"""),"I would find the SRA useful for developing a new NLP4RE tool.")</f>
        <v>I would find the SRA useful for developing a new NLP4RE tool.</v>
      </c>
      <c r="E62" s="14">
        <f>IFERROR(__xludf.DUMMYFUNCTION("""COMPUTED_VALUE"""),5.0)</f>
        <v>5</v>
      </c>
      <c r="G62" s="13" t="str">
        <f>IFERROR(__xludf.DUMMYFUNCTION("""COMPUTED_VALUE"""),"I intend to re-implement an existing NLP4RE tool using the SRA.")</f>
        <v>I intend to re-implement an existing NLP4RE tool using the SRA.</v>
      </c>
      <c r="H62" s="14">
        <f>IFERROR(__xludf.DUMMYFUNCTION("""COMPUTED_VALUE"""),4.0)</f>
        <v>4</v>
      </c>
      <c r="J62"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62" s="14">
        <f>IFERROR(__xludf.DUMMYFUNCTION("""COMPUTED_VALUE"""),6.0)</f>
        <v>6</v>
      </c>
    </row>
    <row r="63">
      <c r="A63" s="13" t="str">
        <f>IFERROR(__xludf.DUMMYFUNCTION("""COMPUTED_VALUE"""),"Learning to apply the SRA would be easy for me.")</f>
        <v>Learning to apply the SRA would be easy for me.</v>
      </c>
      <c r="B63" s="14">
        <f>IFERROR(__xludf.DUMMYFUNCTION("""COMPUTED_VALUE"""),6.0)</f>
        <v>6</v>
      </c>
      <c r="D63" s="13" t="str">
        <f>IFERROR(__xludf.DUMMYFUNCTION("""COMPUTED_VALUE"""),"Using the SRA for developing a new NLP4RE tool would enable me to accomplish tasks more quickly.")</f>
        <v>Using the SRA for developing a new NLP4RE tool would enable me to accomplish tasks more quickly.</v>
      </c>
      <c r="E63" s="14">
        <f>IFERROR(__xludf.DUMMYFUNCTION("""COMPUTED_VALUE"""),7.0)</f>
        <v>7</v>
      </c>
      <c r="G63" s="13" t="str">
        <f>IFERROR(__xludf.DUMMYFUNCTION("""COMPUTED_VALUE"""),"I intend to use the SRA when developing an NLP4RE tool in the future.")</f>
        <v>I intend to use the SRA when developing an NLP4RE tool in the future.</v>
      </c>
      <c r="H63" s="14">
        <f>IFERROR(__xludf.DUMMYFUNCTION("""COMPUTED_VALUE"""),3.0)</f>
        <v>3</v>
      </c>
      <c r="J63"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63" s="14">
        <f>IFERROR(__xludf.DUMMYFUNCTION("""COMPUTED_VALUE"""),7.0)</f>
        <v>7</v>
      </c>
    </row>
    <row r="64">
      <c r="A64" s="13" t="str">
        <f>IFERROR(__xludf.DUMMYFUNCTION("""COMPUTED_VALUE"""),"I would find it easy to get the information I need out of the SRA.")</f>
        <v>I would find it easy to get the information I need out of the SRA.</v>
      </c>
      <c r="B64" s="14">
        <f>IFERROR(__xludf.DUMMYFUNCTION("""COMPUTED_VALUE"""),6.0)</f>
        <v>6</v>
      </c>
      <c r="D64" s="13" t="str">
        <f>IFERROR(__xludf.DUMMYFUNCTION("""COMPUTED_VALUE"""),"Using the SRA would improve my performance when developing an NLP4RE tool.")</f>
        <v>Using the SRA would improve my performance when developing an NLP4RE tool.</v>
      </c>
      <c r="E64" s="14">
        <f>IFERROR(__xludf.DUMMYFUNCTION("""COMPUTED_VALUE"""),7.0)</f>
        <v>7</v>
      </c>
      <c r="G64" s="13" t="str">
        <f>IFERROR(__xludf.DUMMYFUNCTION("""COMPUTED_VALUE"""),"I intend to recommend colleagues, students, or others to use the SRA when developing a new NLP4RE tool.")</f>
        <v>I intend to recommend colleagues, students, or others to use the SRA when developing a new NLP4RE tool.</v>
      </c>
      <c r="H64" s="14">
        <f>IFERROR(__xludf.DUMMYFUNCTION("""COMPUTED_VALUE"""),6.0)</f>
        <v>6</v>
      </c>
      <c r="J64"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64" s="14">
        <f>IFERROR(__xludf.DUMMYFUNCTION("""COMPUTED_VALUE"""),5.0)</f>
        <v>5</v>
      </c>
    </row>
    <row r="65">
      <c r="A65" s="13" t="str">
        <f>IFERROR(__xludf.DUMMYFUNCTION("""COMPUTED_VALUE"""),"My interaction with the SRA would be clear and understandable.")</f>
        <v>My interaction with the SRA would be clear and understandable.</v>
      </c>
      <c r="B65" s="14">
        <f>IFERROR(__xludf.DUMMYFUNCTION("""COMPUTED_VALUE"""),6.0)</f>
        <v>6</v>
      </c>
      <c r="D65" s="13" t="str">
        <f>IFERROR(__xludf.DUMMYFUNCTION("""COMPUTED_VALUE"""),"Using the SRA when developing a new NLP4RE tool would increase my productivity.")</f>
        <v>Using the SRA when developing a new NLP4RE tool would increase my productivity.</v>
      </c>
      <c r="E65" s="14">
        <f>IFERROR(__xludf.DUMMYFUNCTION("""COMPUTED_VALUE"""),7.0)</f>
        <v>7</v>
      </c>
      <c r="G65" s="13" t="str">
        <f>IFERROR(__xludf.DUMMYFUNCTION("""COMPUTED_VALUE"""),"I intend to re-implement an existing NLP4RE tool using the SRA.")</f>
        <v>I intend to re-implement an existing NLP4RE tool using the SRA.</v>
      </c>
      <c r="H65" s="14">
        <f>IFERROR(__xludf.DUMMYFUNCTION("""COMPUTED_VALUE"""),3.0)</f>
        <v>3</v>
      </c>
      <c r="J65"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65" s="14">
        <f>IFERROR(__xludf.DUMMYFUNCTION("""COMPUTED_VALUE"""),3.0)</f>
        <v>3</v>
      </c>
    </row>
    <row r="66">
      <c r="A66" s="13" t="str">
        <f>IFERROR(__xludf.DUMMYFUNCTION("""COMPUTED_VALUE"""),"I would find SRA to be flexible to interact with.")</f>
        <v>I would find SRA to be flexible to interact with.</v>
      </c>
      <c r="B66" s="14">
        <f>IFERROR(__xludf.DUMMYFUNCTION("""COMPUTED_VALUE"""),4.0)</f>
        <v>4</v>
      </c>
      <c r="D66" s="13" t="str">
        <f>IFERROR(__xludf.DUMMYFUNCTION("""COMPUTED_VALUE"""),"Using the SRA would enhance my effectiveness when developing a new NLP4RE tool.")</f>
        <v>Using the SRA would enhance my effectiveness when developing a new NLP4RE tool.</v>
      </c>
      <c r="E66" s="14">
        <f>IFERROR(__xludf.DUMMYFUNCTION("""COMPUTED_VALUE"""),7.0)</f>
        <v>7</v>
      </c>
      <c r="J66"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66" s="14">
        <f>IFERROR(__xludf.DUMMYFUNCTION("""COMPUTED_VALUE"""),4.0)</f>
        <v>4</v>
      </c>
    </row>
    <row r="67">
      <c r="A67" s="13" t="str">
        <f>IFERROR(__xludf.DUMMYFUNCTION("""COMPUTED_VALUE"""),"It would be easy for me to become skillful at using the SRA.")</f>
        <v>It would be easy for me to become skillful at using the SRA.</v>
      </c>
      <c r="B67" s="14">
        <f>IFERROR(__xludf.DUMMYFUNCTION("""COMPUTED_VALUE"""),6.0)</f>
        <v>6</v>
      </c>
      <c r="D67" s="13" t="str">
        <f>IFERROR(__xludf.DUMMYFUNCTION("""COMPUTED_VALUE"""),"Using the SRA would make it easier to develop a new NLP4RE tool.")</f>
        <v>Using the SRA would make it easier to develop a new NLP4RE tool.</v>
      </c>
      <c r="E67" s="14">
        <f>IFERROR(__xludf.DUMMYFUNCTION("""COMPUTED_VALUE"""),7.0)</f>
        <v>7</v>
      </c>
      <c r="J67"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67" s="14">
        <f>IFERROR(__xludf.DUMMYFUNCTION("""COMPUTED_VALUE"""),6.0)</f>
        <v>6</v>
      </c>
    </row>
    <row r="68">
      <c r="A68" s="13" t="str">
        <f>IFERROR(__xludf.DUMMYFUNCTION("""COMPUTED_VALUE"""),"I would find the SRA easy to use.")</f>
        <v>I would find the SRA easy to use.</v>
      </c>
      <c r="B68" s="14">
        <f>IFERROR(__xludf.DUMMYFUNCTION("""COMPUTED_VALUE"""),6.0)</f>
        <v>6</v>
      </c>
      <c r="D68" s="13" t="str">
        <f>IFERROR(__xludf.DUMMYFUNCTION("""COMPUTED_VALUE"""),"I would find the SRA useful for developing a new NLP4RE tool.")</f>
        <v>I would find the SRA useful for developing a new NLP4RE tool.</v>
      </c>
      <c r="E68" s="14">
        <f>IFERROR(__xludf.DUMMYFUNCTION("""COMPUTED_VALUE"""),7.0)</f>
        <v>7</v>
      </c>
      <c r="J68"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68" s="14">
        <f>IFERROR(__xludf.DUMMYFUNCTION("""COMPUTED_VALUE"""),4.0)</f>
        <v>4</v>
      </c>
    </row>
    <row r="69">
      <c r="A69" s="13" t="str">
        <f>IFERROR(__xludf.DUMMYFUNCTION("""COMPUTED_VALUE"""),"Learning to apply the SRA would be easy for me.")</f>
        <v>Learning to apply the SRA would be easy for me.</v>
      </c>
      <c r="B69" s="14">
        <f>IFERROR(__xludf.DUMMYFUNCTION("""COMPUTED_VALUE"""),5.0)</f>
        <v>5</v>
      </c>
      <c r="D69" s="13" t="str">
        <f>IFERROR(__xludf.DUMMYFUNCTION("""COMPUTED_VALUE"""),"Using the SRA for developing a new NLP4RE tool would enable me to accomplish tasks more quickly.")</f>
        <v>Using the SRA for developing a new NLP4RE tool would enable me to accomplish tasks more quickly.</v>
      </c>
      <c r="E69" s="14">
        <f>IFERROR(__xludf.DUMMYFUNCTION("""COMPUTED_VALUE"""),6.0)</f>
        <v>6</v>
      </c>
      <c r="J69"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69" s="14">
        <f>IFERROR(__xludf.DUMMYFUNCTION("""COMPUTED_VALUE"""),6.0)</f>
        <v>6</v>
      </c>
    </row>
    <row r="70">
      <c r="A70" s="13" t="str">
        <f>IFERROR(__xludf.DUMMYFUNCTION("""COMPUTED_VALUE"""),"I would find it easy to get the information I need out of the SRA.")</f>
        <v>I would find it easy to get the information I need out of the SRA.</v>
      </c>
      <c r="B70" s="14">
        <f>IFERROR(__xludf.DUMMYFUNCTION("""COMPUTED_VALUE"""),4.0)</f>
        <v>4</v>
      </c>
      <c r="D70" s="13" t="str">
        <f>IFERROR(__xludf.DUMMYFUNCTION("""COMPUTED_VALUE"""),"Using the SRA would improve my performance when developing an NLP4RE tool.")</f>
        <v>Using the SRA would improve my performance when developing an NLP4RE tool.</v>
      </c>
      <c r="E70" s="14">
        <f>IFERROR(__xludf.DUMMYFUNCTION("""COMPUTED_VALUE"""),5.0)</f>
        <v>5</v>
      </c>
      <c r="J70"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70" s="14">
        <f>IFERROR(__xludf.DUMMYFUNCTION("""COMPUTED_VALUE"""),3.0)</f>
        <v>3</v>
      </c>
    </row>
    <row r="71">
      <c r="A71" s="13" t="str">
        <f>IFERROR(__xludf.DUMMYFUNCTION("""COMPUTED_VALUE"""),"My interaction with the SRA would be clear and understandable.")</f>
        <v>My interaction with the SRA would be clear and understandable.</v>
      </c>
      <c r="B71" s="14">
        <f>IFERROR(__xludf.DUMMYFUNCTION("""COMPUTED_VALUE"""),4.0)</f>
        <v>4</v>
      </c>
      <c r="D71" s="13" t="str">
        <f>IFERROR(__xludf.DUMMYFUNCTION("""COMPUTED_VALUE"""),"Using the SRA when developing a new NLP4RE tool would increase my productivity.")</f>
        <v>Using the SRA when developing a new NLP4RE tool would increase my productivity.</v>
      </c>
      <c r="E71" s="14">
        <f>IFERROR(__xludf.DUMMYFUNCTION("""COMPUTED_VALUE"""),6.0)</f>
        <v>6</v>
      </c>
      <c r="J71"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71" s="14">
        <f>IFERROR(__xludf.DUMMYFUNCTION("""COMPUTED_VALUE"""),6.0)</f>
        <v>6</v>
      </c>
    </row>
    <row r="72">
      <c r="A72" s="13" t="str">
        <f>IFERROR(__xludf.DUMMYFUNCTION("""COMPUTED_VALUE"""),"I would find SRA to be flexible to interact with.")</f>
        <v>I would find SRA to be flexible to interact with.</v>
      </c>
      <c r="B72" s="14">
        <f>IFERROR(__xludf.DUMMYFUNCTION("""COMPUTED_VALUE"""),6.0)</f>
        <v>6</v>
      </c>
      <c r="D72" s="13" t="str">
        <f>IFERROR(__xludf.DUMMYFUNCTION("""COMPUTED_VALUE"""),"Using the SRA would enhance my effectiveness when developing a new NLP4RE tool.")</f>
        <v>Using the SRA would enhance my effectiveness when developing a new NLP4RE tool.</v>
      </c>
      <c r="E72" s="14">
        <f>IFERROR(__xludf.DUMMYFUNCTION("""COMPUTED_VALUE"""),6.0)</f>
        <v>6</v>
      </c>
      <c r="J72"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72" s="14">
        <f>IFERROR(__xludf.DUMMYFUNCTION("""COMPUTED_VALUE"""),6.0)</f>
        <v>6</v>
      </c>
    </row>
    <row r="73">
      <c r="A73" s="13" t="str">
        <f>IFERROR(__xludf.DUMMYFUNCTION("""COMPUTED_VALUE"""),"It would be easy for me to become skillful at using the SRA.")</f>
        <v>It would be easy for me to become skillful at using the SRA.</v>
      </c>
      <c r="B73" s="14">
        <f>IFERROR(__xludf.DUMMYFUNCTION("""COMPUTED_VALUE"""),2.0)</f>
        <v>2</v>
      </c>
      <c r="D73" s="13" t="str">
        <f>IFERROR(__xludf.DUMMYFUNCTION("""COMPUTED_VALUE"""),"Using the SRA would make it easier to develop a new NLP4RE tool.")</f>
        <v>Using the SRA would make it easier to develop a new NLP4RE tool.</v>
      </c>
      <c r="E73" s="14">
        <f>IFERROR(__xludf.DUMMYFUNCTION("""COMPUTED_VALUE"""),7.0)</f>
        <v>7</v>
      </c>
      <c r="J73"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73" s="14">
        <f>IFERROR(__xludf.DUMMYFUNCTION("""COMPUTED_VALUE"""),7.0)</f>
        <v>7</v>
      </c>
    </row>
    <row r="74">
      <c r="A74" s="13" t="str">
        <f>IFERROR(__xludf.DUMMYFUNCTION("""COMPUTED_VALUE"""),"I would find the SRA easy to use.")</f>
        <v>I would find the SRA easy to use.</v>
      </c>
      <c r="B74" s="14">
        <f>IFERROR(__xludf.DUMMYFUNCTION("""COMPUTED_VALUE"""),3.0)</f>
        <v>3</v>
      </c>
      <c r="D74" s="13" t="str">
        <f>IFERROR(__xludf.DUMMYFUNCTION("""COMPUTED_VALUE"""),"I would find the SRA useful for developing a new NLP4RE tool.")</f>
        <v>I would find the SRA useful for developing a new NLP4RE tool.</v>
      </c>
      <c r="E74" s="14">
        <f>IFERROR(__xludf.DUMMYFUNCTION("""COMPUTED_VALUE"""),6.0)</f>
        <v>6</v>
      </c>
      <c r="J74"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74" s="14">
        <f>IFERROR(__xludf.DUMMYFUNCTION("""COMPUTED_VALUE"""),6.0)</f>
        <v>6</v>
      </c>
    </row>
    <row r="75">
      <c r="A75" s="13" t="str">
        <f>IFERROR(__xludf.DUMMYFUNCTION("""COMPUTED_VALUE"""),"Learning to apply the SRA would be easy for me.")</f>
        <v>Learning to apply the SRA would be easy for me.</v>
      </c>
      <c r="B75" s="14">
        <f>IFERROR(__xludf.DUMMYFUNCTION("""COMPUTED_VALUE"""),3.0)</f>
        <v>3</v>
      </c>
      <c r="D75" s="13" t="str">
        <f>IFERROR(__xludf.DUMMYFUNCTION("""COMPUTED_VALUE"""),"Using the SRA for developing a new NLP4RE tool would enable me to accomplish tasks more quickly.")</f>
        <v>Using the SRA for developing a new NLP4RE tool would enable me to accomplish tasks more quickly.</v>
      </c>
      <c r="E75" s="14">
        <f>IFERROR(__xludf.DUMMYFUNCTION("""COMPUTED_VALUE"""),2.0)</f>
        <v>2</v>
      </c>
      <c r="J75"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75" s="14">
        <f>IFERROR(__xludf.DUMMYFUNCTION("""COMPUTED_VALUE"""),6.0)</f>
        <v>6</v>
      </c>
    </row>
    <row r="76">
      <c r="A76" s="13" t="str">
        <f>IFERROR(__xludf.DUMMYFUNCTION("""COMPUTED_VALUE"""),"I would find it easy to get the information I need out of the SRA.")</f>
        <v>I would find it easy to get the information I need out of the SRA.</v>
      </c>
      <c r="B76" s="14">
        <f>IFERROR(__xludf.DUMMYFUNCTION("""COMPUTED_VALUE"""),1.0)</f>
        <v>1</v>
      </c>
      <c r="D76" s="13" t="str">
        <f>IFERROR(__xludf.DUMMYFUNCTION("""COMPUTED_VALUE"""),"Using the SRA would improve my performance when developing an NLP4RE tool.")</f>
        <v>Using the SRA would improve my performance when developing an NLP4RE tool.</v>
      </c>
      <c r="E76" s="14">
        <f>IFERROR(__xludf.DUMMYFUNCTION("""COMPUTED_VALUE"""),1.0)</f>
        <v>1</v>
      </c>
      <c r="J76"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76" s="14">
        <f>IFERROR(__xludf.DUMMYFUNCTION("""COMPUTED_VALUE"""),6.0)</f>
        <v>6</v>
      </c>
    </row>
    <row r="77">
      <c r="A77" s="13" t="str">
        <f>IFERROR(__xludf.DUMMYFUNCTION("""COMPUTED_VALUE"""),"My interaction with the SRA would be clear and understandable.")</f>
        <v>My interaction with the SRA would be clear and understandable.</v>
      </c>
      <c r="B77" s="14">
        <f>IFERROR(__xludf.DUMMYFUNCTION("""COMPUTED_VALUE"""),4.0)</f>
        <v>4</v>
      </c>
      <c r="D77" s="13" t="str">
        <f>IFERROR(__xludf.DUMMYFUNCTION("""COMPUTED_VALUE"""),"Using the SRA when developing a new NLP4RE tool would increase my productivity.")</f>
        <v>Using the SRA when developing a new NLP4RE tool would increase my productivity.</v>
      </c>
      <c r="E77" s="14">
        <f>IFERROR(__xludf.DUMMYFUNCTION("""COMPUTED_VALUE"""),2.0)</f>
        <v>2</v>
      </c>
      <c r="J77"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77" s="14">
        <f>IFERROR(__xludf.DUMMYFUNCTION("""COMPUTED_VALUE"""),6.0)</f>
        <v>6</v>
      </c>
    </row>
    <row r="78">
      <c r="A78" s="13" t="str">
        <f>IFERROR(__xludf.DUMMYFUNCTION("""COMPUTED_VALUE"""),"I would find SRA to be flexible to interact with.")</f>
        <v>I would find SRA to be flexible to interact with.</v>
      </c>
      <c r="B78" s="14">
        <f>IFERROR(__xludf.DUMMYFUNCTION("""COMPUTED_VALUE"""),4.0)</f>
        <v>4</v>
      </c>
      <c r="D78" s="13" t="str">
        <f>IFERROR(__xludf.DUMMYFUNCTION("""COMPUTED_VALUE"""),"Using the SRA would enhance my effectiveness when developing a new NLP4RE tool.")</f>
        <v>Using the SRA would enhance my effectiveness when developing a new NLP4RE tool.</v>
      </c>
      <c r="E78" s="14">
        <f>IFERROR(__xludf.DUMMYFUNCTION("""COMPUTED_VALUE"""),1.0)</f>
        <v>1</v>
      </c>
      <c r="J78"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78" s="14">
        <f>IFERROR(__xludf.DUMMYFUNCTION("""COMPUTED_VALUE"""),6.0)</f>
        <v>6</v>
      </c>
    </row>
    <row r="79">
      <c r="A79" s="13" t="str">
        <f>IFERROR(__xludf.DUMMYFUNCTION("""COMPUTED_VALUE"""),"It would be easy for me to become skillful at using the SRA.")</f>
        <v>It would be easy for me to become skillful at using the SRA.</v>
      </c>
      <c r="B79" s="14">
        <f>IFERROR(__xludf.DUMMYFUNCTION("""COMPUTED_VALUE"""),4.0)</f>
        <v>4</v>
      </c>
      <c r="D79" s="13" t="str">
        <f>IFERROR(__xludf.DUMMYFUNCTION("""COMPUTED_VALUE"""),"Using the SRA would make it easier to develop a new NLP4RE tool.")</f>
        <v>Using the SRA would make it easier to develop a new NLP4RE tool.</v>
      </c>
      <c r="E79" s="14">
        <f>IFERROR(__xludf.DUMMYFUNCTION("""COMPUTED_VALUE"""),1.0)</f>
        <v>1</v>
      </c>
      <c r="J79"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79" s="14">
        <f>IFERROR(__xludf.DUMMYFUNCTION("""COMPUTED_VALUE"""),7.0)</f>
        <v>7</v>
      </c>
    </row>
    <row r="80">
      <c r="A80" s="13" t="str">
        <f>IFERROR(__xludf.DUMMYFUNCTION("""COMPUTED_VALUE"""),"I would find the SRA easy to use.")</f>
        <v>I would find the SRA easy to use.</v>
      </c>
      <c r="B80" s="14">
        <f>IFERROR(__xludf.DUMMYFUNCTION("""COMPUTED_VALUE"""),2.0)</f>
        <v>2</v>
      </c>
      <c r="D80" s="13" t="str">
        <f>IFERROR(__xludf.DUMMYFUNCTION("""COMPUTED_VALUE"""),"I would find the SRA useful for developing a new NLP4RE tool.")</f>
        <v>I would find the SRA useful for developing a new NLP4RE tool.</v>
      </c>
      <c r="E80" s="14">
        <f>IFERROR(__xludf.DUMMYFUNCTION("""COMPUTED_VALUE"""),2.0)</f>
        <v>2</v>
      </c>
      <c r="J80"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80" s="14">
        <f>IFERROR(__xludf.DUMMYFUNCTION("""COMPUTED_VALUE"""),6.0)</f>
        <v>6</v>
      </c>
    </row>
    <row r="81">
      <c r="A81" s="13" t="str">
        <f>IFERROR(__xludf.DUMMYFUNCTION("""COMPUTED_VALUE"""),"Learning to apply the SRA would be easy for me.")</f>
        <v>Learning to apply the SRA would be easy for me.</v>
      </c>
      <c r="B81" s="14">
        <f>IFERROR(__xludf.DUMMYFUNCTION("""COMPUTED_VALUE"""),5.0)</f>
        <v>5</v>
      </c>
      <c r="D81" s="13" t="str">
        <f>IFERROR(__xludf.DUMMYFUNCTION("""COMPUTED_VALUE"""),"Using the SRA for developing a new NLP4RE tool would enable me to accomplish tasks more quickly.")</f>
        <v>Using the SRA for developing a new NLP4RE tool would enable me to accomplish tasks more quickly.</v>
      </c>
      <c r="E81" s="14">
        <f>IFERROR(__xludf.DUMMYFUNCTION("""COMPUTED_VALUE"""),4.0)</f>
        <v>4</v>
      </c>
      <c r="J81"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81" s="14">
        <f>IFERROR(__xludf.DUMMYFUNCTION("""COMPUTED_VALUE"""),7.0)</f>
        <v>7</v>
      </c>
    </row>
    <row r="82">
      <c r="A82" s="13" t="str">
        <f>IFERROR(__xludf.DUMMYFUNCTION("""COMPUTED_VALUE"""),"I would find it easy to get the information I need out of the SRA.")</f>
        <v>I would find it easy to get the information I need out of the SRA.</v>
      </c>
      <c r="B82" s="14">
        <f>IFERROR(__xludf.DUMMYFUNCTION("""COMPUTED_VALUE"""),5.0)</f>
        <v>5</v>
      </c>
      <c r="D82" s="13" t="str">
        <f>IFERROR(__xludf.DUMMYFUNCTION("""COMPUTED_VALUE"""),"Using the SRA would improve my performance when developing an NLP4RE tool.")</f>
        <v>Using the SRA would improve my performance when developing an NLP4RE tool.</v>
      </c>
      <c r="E82" s="14">
        <f>IFERROR(__xludf.DUMMYFUNCTION("""COMPUTED_VALUE"""),5.0)</f>
        <v>5</v>
      </c>
      <c r="J82"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82" s="14">
        <f>IFERROR(__xludf.DUMMYFUNCTION("""COMPUTED_VALUE"""),6.0)</f>
        <v>6</v>
      </c>
    </row>
    <row r="83">
      <c r="A83" s="13" t="str">
        <f>IFERROR(__xludf.DUMMYFUNCTION("""COMPUTED_VALUE"""),"My interaction with the SRA would be clear and understandable.")</f>
        <v>My interaction with the SRA would be clear and understandable.</v>
      </c>
      <c r="B83" s="14">
        <f>IFERROR(__xludf.DUMMYFUNCTION("""COMPUTED_VALUE"""),3.0)</f>
        <v>3</v>
      </c>
      <c r="D83" s="13" t="str">
        <f>IFERROR(__xludf.DUMMYFUNCTION("""COMPUTED_VALUE"""),"Using the SRA when developing a new NLP4RE tool would increase my productivity.")</f>
        <v>Using the SRA when developing a new NLP4RE tool would increase my productivity.</v>
      </c>
      <c r="E83" s="14">
        <f>IFERROR(__xludf.DUMMYFUNCTION("""COMPUTED_VALUE"""),5.0)</f>
        <v>5</v>
      </c>
      <c r="J83" s="13" t="str">
        <f>IFERROR(__xludf.DUMMYFUNCTION("""COMPUTED_VALUE"""),"It will cost less effort to re-use components from NLP4RE tools that adhere to the SRA than from comparable NLP4RE tools not adhering to it.")</f>
        <v>It will cost less effort to re-use components from NLP4RE tools that adhere to the SRA than from comparable NLP4RE tools not adhering to it.</v>
      </c>
      <c r="K83" s="14">
        <f>IFERROR(__xludf.DUMMYFUNCTION("""COMPUTED_VALUE"""),6.0)</f>
        <v>6</v>
      </c>
    </row>
    <row r="84">
      <c r="A84" s="13" t="str">
        <f>IFERROR(__xludf.DUMMYFUNCTION("""COMPUTED_VALUE"""),"I would find SRA to be flexible to interact with.")</f>
        <v>I would find SRA to be flexible to interact with.</v>
      </c>
      <c r="B84" s="14">
        <f>IFERROR(__xludf.DUMMYFUNCTION("""COMPUTED_VALUE"""),5.0)</f>
        <v>5</v>
      </c>
      <c r="D84" s="13" t="str">
        <f>IFERROR(__xludf.DUMMYFUNCTION("""COMPUTED_VALUE"""),"Using the SRA would enhance my effectiveness when developing a new NLP4RE tool.")</f>
        <v>Using the SRA would enhance my effectiveness when developing a new NLP4RE tool.</v>
      </c>
      <c r="E84" s="14">
        <f>IFERROR(__xludf.DUMMYFUNCTION("""COMPUTED_VALUE"""),5.0)</f>
        <v>5</v>
      </c>
      <c r="J84" s="13" t="str">
        <f>IFERROR(__xludf.DUMMYFUNCTION("""COMPUTED_VALUE"""),"An NLP4RE tool that adheres to the SRA is applicable to more use cases (e.g., different types of input documents) than comparable NLP4RE tools that do not adhere to it.")</f>
        <v>An NLP4RE tool that adheres to the SRA is applicable to more use cases (e.g., different types of input documents) than comparable NLP4RE tools that do not adhere to it.</v>
      </c>
      <c r="K84" s="14">
        <f>IFERROR(__xludf.DUMMYFUNCTION("""COMPUTED_VALUE"""),5.0)</f>
        <v>5</v>
      </c>
    </row>
    <row r="85">
      <c r="A85" s="13" t="str">
        <f>IFERROR(__xludf.DUMMYFUNCTION("""COMPUTED_VALUE"""),"It would be easy for me to become skillful at using the SRA.")</f>
        <v>It would be easy for me to become skillful at using the SRA.</v>
      </c>
      <c r="B85" s="14">
        <f>IFERROR(__xludf.DUMMYFUNCTION("""COMPUTED_VALUE"""),4.0)</f>
        <v>4</v>
      </c>
      <c r="D85" s="13" t="str">
        <f>IFERROR(__xludf.DUMMYFUNCTION("""COMPUTED_VALUE"""),"Using the SRA would make it easier to develop a new NLP4RE tool.")</f>
        <v>Using the SRA would make it easier to develop a new NLP4RE tool.</v>
      </c>
      <c r="E85" s="14">
        <f>IFERROR(__xludf.DUMMYFUNCTION("""COMPUTED_VALUE"""),3.0)</f>
        <v>3</v>
      </c>
      <c r="J85" s="13" t="str">
        <f>IFERROR(__xludf.DUMMYFUNCTION("""COMPUTED_VALUE"""),"An NLP4RE tool that adheres to the SRA is easier to compare with other tools that perform a similar task (e.g., requirements classification), than comparable NLP4RE tools that do not adhere to it.")</f>
        <v>An NLP4RE tool that adheres to the SRA is easier to compare with other tools that perform a similar task (e.g., requirements classification), than comparable NLP4RE tools that do not adhere to it.</v>
      </c>
      <c r="K85" s="14">
        <f>IFERROR(__xludf.DUMMYFUNCTION("""COMPUTED_VALUE"""),6.0)</f>
        <v>6</v>
      </c>
    </row>
    <row r="86">
      <c r="A86" s="13" t="str">
        <f>IFERROR(__xludf.DUMMYFUNCTION("""COMPUTED_VALUE"""),"I would find the SRA easy to use.")</f>
        <v>I would find the SRA easy to use.</v>
      </c>
      <c r="B86" s="14">
        <f>IFERROR(__xludf.DUMMYFUNCTION("""COMPUTED_VALUE"""),4.0)</f>
        <v>4</v>
      </c>
      <c r="D86" s="13" t="str">
        <f>IFERROR(__xludf.DUMMYFUNCTION("""COMPUTED_VALUE"""),"I would find the SRA useful for developing a new NLP4RE tool.")</f>
        <v>I would find the SRA useful for developing a new NLP4RE tool.</v>
      </c>
      <c r="E86" s="14">
        <f>IFERROR(__xludf.DUMMYFUNCTION("""COMPUTED_VALUE"""),5.0)</f>
        <v>5</v>
      </c>
      <c r="J86" s="13" t="str">
        <f>IFERROR(__xludf.DUMMYFUNCTION("""COMPUTED_VALUE"""),"An NLP4RE tool that adheres to the SRA is easier to maintain than comparable NLP4RE tools that do not adhere to it.")</f>
        <v>An NLP4RE tool that adheres to the SRA is easier to maintain than comparable NLP4RE tools that do not adhere to it.</v>
      </c>
      <c r="K86" s="14">
        <f>IFERROR(__xludf.DUMMYFUNCTION("""COMPUTED_VALUE"""),6.0)</f>
        <v>6</v>
      </c>
    </row>
    <row r="87">
      <c r="A87" s="13" t="str">
        <f>IFERROR(__xludf.DUMMYFUNCTION("""COMPUTED_VALUE"""),"Learning to apply the SRA would be easy for me.")</f>
        <v>Learning to apply the SRA would be easy for me.</v>
      </c>
      <c r="B87" s="14">
        <f>IFERROR(__xludf.DUMMYFUNCTION("""COMPUTED_VALUE"""),3.0)</f>
        <v>3</v>
      </c>
      <c r="D87" s="13" t="str">
        <f>IFERROR(__xludf.DUMMYFUNCTION("""COMPUTED_VALUE"""),"Using the SRA for developing a new NLP4RE tool would enable me to accomplish tasks more quickly.")</f>
        <v>Using the SRA for developing a new NLP4RE tool would enable me to accomplish tasks more quickly.</v>
      </c>
      <c r="E87" s="14">
        <f>IFERROR(__xludf.DUMMYFUNCTION("""COMPUTED_VALUE"""),5.0)</f>
        <v>5</v>
      </c>
    </row>
    <row r="88">
      <c r="A88" s="13" t="str">
        <f>IFERROR(__xludf.DUMMYFUNCTION("""COMPUTED_VALUE"""),"I would find it easy to get the information I need out of the SRA.")</f>
        <v>I would find it easy to get the information I need out of the SRA.</v>
      </c>
      <c r="B88" s="14">
        <f>IFERROR(__xludf.DUMMYFUNCTION("""COMPUTED_VALUE"""),4.0)</f>
        <v>4</v>
      </c>
      <c r="D88" s="13" t="str">
        <f>IFERROR(__xludf.DUMMYFUNCTION("""COMPUTED_VALUE"""),"Using the SRA would improve my performance when developing an NLP4RE tool.")</f>
        <v>Using the SRA would improve my performance when developing an NLP4RE tool.</v>
      </c>
      <c r="E88" s="14">
        <f>IFERROR(__xludf.DUMMYFUNCTION("""COMPUTED_VALUE"""),5.0)</f>
        <v>5</v>
      </c>
    </row>
    <row r="89">
      <c r="A89" s="13" t="str">
        <f>IFERROR(__xludf.DUMMYFUNCTION("""COMPUTED_VALUE"""),"My interaction with the SRA would be clear and understandable.")</f>
        <v>My interaction with the SRA would be clear and understandable.</v>
      </c>
      <c r="B89" s="14">
        <f>IFERROR(__xludf.DUMMYFUNCTION("""COMPUTED_VALUE"""),4.0)</f>
        <v>4</v>
      </c>
      <c r="D89" s="13" t="str">
        <f>IFERROR(__xludf.DUMMYFUNCTION("""COMPUTED_VALUE"""),"Using the SRA when developing a new NLP4RE tool would increase my productivity.")</f>
        <v>Using the SRA when developing a new NLP4RE tool would increase my productivity.</v>
      </c>
      <c r="E89" s="14">
        <f>IFERROR(__xludf.DUMMYFUNCTION("""COMPUTED_VALUE"""),5.0)</f>
        <v>5</v>
      </c>
    </row>
    <row r="90">
      <c r="A90" s="13" t="str">
        <f>IFERROR(__xludf.DUMMYFUNCTION("""COMPUTED_VALUE"""),"I would find SRA to be flexible to interact with.")</f>
        <v>I would find SRA to be flexible to interact with.</v>
      </c>
      <c r="B90" s="14">
        <f>IFERROR(__xludf.DUMMYFUNCTION("""COMPUTED_VALUE"""),5.0)</f>
        <v>5</v>
      </c>
      <c r="D90" s="13" t="str">
        <f>IFERROR(__xludf.DUMMYFUNCTION("""COMPUTED_VALUE"""),"Using the SRA would enhance my effectiveness when developing a new NLP4RE tool.")</f>
        <v>Using the SRA would enhance my effectiveness when developing a new NLP4RE tool.</v>
      </c>
      <c r="E90" s="14">
        <f>IFERROR(__xludf.DUMMYFUNCTION("""COMPUTED_VALUE"""),5.0)</f>
        <v>5</v>
      </c>
    </row>
    <row r="91">
      <c r="A91" s="13" t="str">
        <f>IFERROR(__xludf.DUMMYFUNCTION("""COMPUTED_VALUE"""),"It would be easy for me to become skillful at using the SRA.")</f>
        <v>It would be easy for me to become skillful at using the SRA.</v>
      </c>
      <c r="B91" s="14">
        <f>IFERROR(__xludf.DUMMYFUNCTION("""COMPUTED_VALUE"""),6.0)</f>
        <v>6</v>
      </c>
      <c r="D91" s="13" t="str">
        <f>IFERROR(__xludf.DUMMYFUNCTION("""COMPUTED_VALUE"""),"Using the SRA would make it easier to develop a new NLP4RE tool.")</f>
        <v>Using the SRA would make it easier to develop a new NLP4RE tool.</v>
      </c>
      <c r="E91" s="14">
        <f>IFERROR(__xludf.DUMMYFUNCTION("""COMPUTED_VALUE"""),6.0)</f>
        <v>6</v>
      </c>
    </row>
    <row r="92">
      <c r="A92" s="13" t="str">
        <f>IFERROR(__xludf.DUMMYFUNCTION("""COMPUTED_VALUE"""),"I would find the SRA easy to use.")</f>
        <v>I would find the SRA easy to use.</v>
      </c>
      <c r="B92" s="14">
        <f>IFERROR(__xludf.DUMMYFUNCTION("""COMPUTED_VALUE"""),3.0)</f>
        <v>3</v>
      </c>
      <c r="D92" s="13" t="str">
        <f>IFERROR(__xludf.DUMMYFUNCTION("""COMPUTED_VALUE"""),"I would find the SRA useful for developing a new NLP4RE tool.")</f>
        <v>I would find the SRA useful for developing a new NLP4RE tool.</v>
      </c>
      <c r="E92" s="14">
        <f>IFERROR(__xludf.DUMMYFUNCTION("""COMPUTED_VALUE"""),5.0)</f>
        <v>5</v>
      </c>
    </row>
    <row r="93">
      <c r="A93" s="13" t="str">
        <f>IFERROR(__xludf.DUMMYFUNCTION("""COMPUTED_VALUE"""),"Learning to apply the SRA would be easy for me.")</f>
        <v>Learning to apply the SRA would be easy for me.</v>
      </c>
      <c r="B93" s="14">
        <f>IFERROR(__xludf.DUMMYFUNCTION("""COMPUTED_VALUE"""),4.0)</f>
        <v>4</v>
      </c>
      <c r="D93" s="13" t="str">
        <f>IFERROR(__xludf.DUMMYFUNCTION("""COMPUTED_VALUE"""),"Using the SRA for developing a new NLP4RE tool would enable me to accomplish tasks more quickly.")</f>
        <v>Using the SRA for developing a new NLP4RE tool would enable me to accomplish tasks more quickly.</v>
      </c>
      <c r="E93" s="14">
        <f>IFERROR(__xludf.DUMMYFUNCTION("""COMPUTED_VALUE"""),4.0)</f>
        <v>4</v>
      </c>
    </row>
    <row r="94">
      <c r="A94" s="13" t="str">
        <f>IFERROR(__xludf.DUMMYFUNCTION("""COMPUTED_VALUE"""),"I would find it easy to get the information I need out of the SRA.")</f>
        <v>I would find it easy to get the information I need out of the SRA.</v>
      </c>
      <c r="B94" s="14">
        <f>IFERROR(__xludf.DUMMYFUNCTION("""COMPUTED_VALUE"""),4.0)</f>
        <v>4</v>
      </c>
      <c r="D94" s="13" t="str">
        <f>IFERROR(__xludf.DUMMYFUNCTION("""COMPUTED_VALUE"""),"Using the SRA would improve my performance when developing an NLP4RE tool.")</f>
        <v>Using the SRA would improve my performance when developing an NLP4RE tool.</v>
      </c>
      <c r="E94" s="14">
        <f>IFERROR(__xludf.DUMMYFUNCTION("""COMPUTED_VALUE"""),5.0)</f>
        <v>5</v>
      </c>
    </row>
    <row r="95">
      <c r="A95" s="13" t="str">
        <f>IFERROR(__xludf.DUMMYFUNCTION("""COMPUTED_VALUE"""),"My interaction with the SRA would be clear and understandable.")</f>
        <v>My interaction with the SRA would be clear and understandable.</v>
      </c>
      <c r="B95" s="14">
        <f>IFERROR(__xludf.DUMMYFUNCTION("""COMPUTED_VALUE"""),4.0)</f>
        <v>4</v>
      </c>
      <c r="D95" s="13" t="str">
        <f>IFERROR(__xludf.DUMMYFUNCTION("""COMPUTED_VALUE"""),"Using the SRA when developing a new NLP4RE tool would increase my productivity.")</f>
        <v>Using the SRA when developing a new NLP4RE tool would increase my productivity.</v>
      </c>
      <c r="E95" s="14">
        <f>IFERROR(__xludf.DUMMYFUNCTION("""COMPUTED_VALUE"""),5.0)</f>
        <v>5</v>
      </c>
    </row>
    <row r="96">
      <c r="A96" s="13" t="str">
        <f>IFERROR(__xludf.DUMMYFUNCTION("""COMPUTED_VALUE"""),"I would find SRA to be flexible to interact with.")</f>
        <v>I would find SRA to be flexible to interact with.</v>
      </c>
      <c r="B96" s="14">
        <f>IFERROR(__xludf.DUMMYFUNCTION("""COMPUTED_VALUE"""),5.0)</f>
        <v>5</v>
      </c>
      <c r="D96" s="13" t="str">
        <f>IFERROR(__xludf.DUMMYFUNCTION("""COMPUTED_VALUE"""),"Using the SRA would enhance my effectiveness when developing a new NLP4RE tool.")</f>
        <v>Using the SRA would enhance my effectiveness when developing a new NLP4RE tool.</v>
      </c>
      <c r="E96" s="14">
        <f>IFERROR(__xludf.DUMMYFUNCTION("""COMPUTED_VALUE"""),5.0)</f>
        <v>5</v>
      </c>
    </row>
    <row r="97">
      <c r="A97" s="13" t="str">
        <f>IFERROR(__xludf.DUMMYFUNCTION("""COMPUTED_VALUE"""),"It would be easy for me to become skillful at using the SRA.")</f>
        <v>It would be easy for me to become skillful at using the SRA.</v>
      </c>
      <c r="B97" s="14">
        <f>IFERROR(__xludf.DUMMYFUNCTION("""COMPUTED_VALUE"""),5.0)</f>
        <v>5</v>
      </c>
      <c r="D97" s="13" t="str">
        <f>IFERROR(__xludf.DUMMYFUNCTION("""COMPUTED_VALUE"""),"Using the SRA would make it easier to develop a new NLP4RE tool.")</f>
        <v>Using the SRA would make it easier to develop a new NLP4RE tool.</v>
      </c>
      <c r="E97" s="14">
        <f>IFERROR(__xludf.DUMMYFUNCTION("""COMPUTED_VALUE"""),5.0)</f>
        <v>5</v>
      </c>
    </row>
    <row r="98">
      <c r="A98" s="13" t="str">
        <f>IFERROR(__xludf.DUMMYFUNCTION("""COMPUTED_VALUE"""),"I would find the SRA easy to use.")</f>
        <v>I would find the SRA easy to use.</v>
      </c>
      <c r="B98" s="14">
        <f>IFERROR(__xludf.DUMMYFUNCTION("""COMPUTED_VALUE"""),4.0)</f>
        <v>4</v>
      </c>
      <c r="D98" s="13" t="str">
        <f>IFERROR(__xludf.DUMMYFUNCTION("""COMPUTED_VALUE"""),"I would find the SRA useful for developing a new NLP4RE tool.")</f>
        <v>I would find the SRA useful for developing a new NLP4RE tool.</v>
      </c>
      <c r="E98" s="14">
        <f>IFERROR(__xludf.DUMMYFUNCTION("""COMPUTED_VALUE"""),5.0)</f>
        <v>5</v>
      </c>
    </row>
    <row r="99">
      <c r="A99" s="13" t="str">
        <f>IFERROR(__xludf.DUMMYFUNCTION("""COMPUTED_VALUE"""),"Learning to apply the SRA would be easy for me.")</f>
        <v>Learning to apply the SRA would be easy for me.</v>
      </c>
      <c r="B99" s="14">
        <f>IFERROR(__xludf.DUMMYFUNCTION("""COMPUTED_VALUE"""),2.0)</f>
        <v>2</v>
      </c>
      <c r="D99" s="13" t="str">
        <f>IFERROR(__xludf.DUMMYFUNCTION("""COMPUTED_VALUE"""),"Using the SRA for developing a new NLP4RE tool would enable me to accomplish tasks more quickly.")</f>
        <v>Using the SRA for developing a new NLP4RE tool would enable me to accomplish tasks more quickly.</v>
      </c>
      <c r="E99" s="14">
        <f>IFERROR(__xludf.DUMMYFUNCTION("""COMPUTED_VALUE"""),3.0)</f>
        <v>3</v>
      </c>
    </row>
    <row r="100">
      <c r="A100" s="13" t="str">
        <f>IFERROR(__xludf.DUMMYFUNCTION("""COMPUTED_VALUE"""),"I would find it easy to get the information I need out of the SRA.")</f>
        <v>I would find it easy to get the information I need out of the SRA.</v>
      </c>
      <c r="B100" s="14">
        <f>IFERROR(__xludf.DUMMYFUNCTION("""COMPUTED_VALUE"""),4.0)</f>
        <v>4</v>
      </c>
      <c r="D100" s="13" t="str">
        <f>IFERROR(__xludf.DUMMYFUNCTION("""COMPUTED_VALUE"""),"Using the SRA would improve my performance when developing an NLP4RE tool.")</f>
        <v>Using the SRA would improve my performance when developing an NLP4RE tool.</v>
      </c>
      <c r="E100" s="14">
        <f>IFERROR(__xludf.DUMMYFUNCTION("""COMPUTED_VALUE"""),4.0)</f>
        <v>4</v>
      </c>
    </row>
    <row r="101">
      <c r="A101" s="13" t="str">
        <f>IFERROR(__xludf.DUMMYFUNCTION("""COMPUTED_VALUE"""),"My interaction with the SRA would be clear and understandable.")</f>
        <v>My interaction with the SRA would be clear and understandable.</v>
      </c>
      <c r="B101" s="14">
        <f>IFERROR(__xludf.DUMMYFUNCTION("""COMPUTED_VALUE"""),2.0)</f>
        <v>2</v>
      </c>
      <c r="D101" s="13" t="str">
        <f>IFERROR(__xludf.DUMMYFUNCTION("""COMPUTED_VALUE"""),"Using the SRA when developing a new NLP4RE tool would increase my productivity.")</f>
        <v>Using the SRA when developing a new NLP4RE tool would increase my productivity.</v>
      </c>
      <c r="E101" s="14">
        <f>IFERROR(__xludf.DUMMYFUNCTION("""COMPUTED_VALUE"""),4.0)</f>
        <v>4</v>
      </c>
    </row>
    <row r="102">
      <c r="A102" s="13" t="str">
        <f>IFERROR(__xludf.DUMMYFUNCTION("""COMPUTED_VALUE"""),"I would find SRA to be flexible to interact with.")</f>
        <v>I would find SRA to be flexible to interact with.</v>
      </c>
      <c r="B102" s="14">
        <f>IFERROR(__xludf.DUMMYFUNCTION("""COMPUTED_VALUE"""),2.0)</f>
        <v>2</v>
      </c>
      <c r="D102" s="13" t="str">
        <f>IFERROR(__xludf.DUMMYFUNCTION("""COMPUTED_VALUE"""),"Using the SRA would enhance my effectiveness when developing a new NLP4RE tool.")</f>
        <v>Using the SRA would enhance my effectiveness when developing a new NLP4RE tool.</v>
      </c>
      <c r="E102" s="14">
        <f>IFERROR(__xludf.DUMMYFUNCTION("""COMPUTED_VALUE"""),6.0)</f>
        <v>6</v>
      </c>
    </row>
    <row r="103">
      <c r="A103" s="13" t="str">
        <f>IFERROR(__xludf.DUMMYFUNCTION("""COMPUTED_VALUE"""),"It would be easy for me to become skillful at using the SRA.")</f>
        <v>It would be easy for me to become skillful at using the SRA.</v>
      </c>
      <c r="B103" s="14">
        <f>IFERROR(__xludf.DUMMYFUNCTION("""COMPUTED_VALUE"""),3.0)</f>
        <v>3</v>
      </c>
      <c r="D103" s="13" t="str">
        <f>IFERROR(__xludf.DUMMYFUNCTION("""COMPUTED_VALUE"""),"Using the SRA would make it easier to develop a new NLP4RE tool.")</f>
        <v>Using the SRA would make it easier to develop a new NLP4RE tool.</v>
      </c>
      <c r="E103" s="14">
        <f>IFERROR(__xludf.DUMMYFUNCTION("""COMPUTED_VALUE"""),6.0)</f>
        <v>6</v>
      </c>
    </row>
    <row r="104">
      <c r="A104" s="13" t="str">
        <f>IFERROR(__xludf.DUMMYFUNCTION("""COMPUTED_VALUE"""),"I would find the SRA easy to use.")</f>
        <v>I would find the SRA easy to use.</v>
      </c>
      <c r="B104" s="14">
        <f>IFERROR(__xludf.DUMMYFUNCTION("""COMPUTED_VALUE"""),2.0)</f>
        <v>2</v>
      </c>
      <c r="D104" s="13" t="str">
        <f>IFERROR(__xludf.DUMMYFUNCTION("""COMPUTED_VALUE"""),"I would find the SRA useful for developing a new NLP4RE tool.")</f>
        <v>I would find the SRA useful for developing a new NLP4RE tool.</v>
      </c>
      <c r="E104" s="14">
        <f>IFERROR(__xludf.DUMMYFUNCTION("""COMPUTED_VALUE"""),5.0)</f>
        <v>5</v>
      </c>
    </row>
    <row r="105">
      <c r="A105" s="13" t="str">
        <f>IFERROR(__xludf.DUMMYFUNCTION("""COMPUTED_VALUE"""),"Learning to apply the SRA would be easy for me.")</f>
        <v>Learning to apply the SRA would be easy for me.</v>
      </c>
      <c r="B105" s="14">
        <f>IFERROR(__xludf.DUMMYFUNCTION("""COMPUTED_VALUE"""),6.0)</f>
        <v>6</v>
      </c>
      <c r="D105" s="13" t="str">
        <f>IFERROR(__xludf.DUMMYFUNCTION("""COMPUTED_VALUE"""),"Using the SRA for developing a new NLP4RE tool would enable me to accomplish tasks more quickly.")</f>
        <v>Using the SRA for developing a new NLP4RE tool would enable me to accomplish tasks more quickly.</v>
      </c>
      <c r="E105" s="14">
        <f>IFERROR(__xludf.DUMMYFUNCTION("""COMPUTED_VALUE"""),4.0)</f>
        <v>4</v>
      </c>
    </row>
    <row r="106">
      <c r="A106" s="13" t="str">
        <f>IFERROR(__xludf.DUMMYFUNCTION("""COMPUTED_VALUE"""),"I would find it easy to get the information I need out of the SRA.")</f>
        <v>I would find it easy to get the information I need out of the SRA.</v>
      </c>
      <c r="B106" s="14">
        <f>IFERROR(__xludf.DUMMYFUNCTION("""COMPUTED_VALUE"""),6.0)</f>
        <v>6</v>
      </c>
      <c r="D106" s="13" t="str">
        <f>IFERROR(__xludf.DUMMYFUNCTION("""COMPUTED_VALUE"""),"Using the SRA would improve my performance when developing an NLP4RE tool.")</f>
        <v>Using the SRA would improve my performance when developing an NLP4RE tool.</v>
      </c>
      <c r="E106" s="14">
        <f>IFERROR(__xludf.DUMMYFUNCTION("""COMPUTED_VALUE"""),6.0)</f>
        <v>6</v>
      </c>
    </row>
    <row r="107">
      <c r="A107" s="13" t="str">
        <f>IFERROR(__xludf.DUMMYFUNCTION("""COMPUTED_VALUE"""),"My interaction with the SRA would be clear and understandable.")</f>
        <v>My interaction with the SRA would be clear and understandable.</v>
      </c>
      <c r="B107" s="14">
        <f>IFERROR(__xludf.DUMMYFUNCTION("""COMPUTED_VALUE"""),7.0)</f>
        <v>7</v>
      </c>
      <c r="D107" s="13" t="str">
        <f>IFERROR(__xludf.DUMMYFUNCTION("""COMPUTED_VALUE"""),"Using the SRA when developing a new NLP4RE tool would increase my productivity.")</f>
        <v>Using the SRA when developing a new NLP4RE tool would increase my productivity.</v>
      </c>
      <c r="E107" s="14">
        <f>IFERROR(__xludf.DUMMYFUNCTION("""COMPUTED_VALUE"""),5.0)</f>
        <v>5</v>
      </c>
    </row>
    <row r="108">
      <c r="A108" s="13" t="str">
        <f>IFERROR(__xludf.DUMMYFUNCTION("""COMPUTED_VALUE"""),"I would find SRA to be flexible to interact with.")</f>
        <v>I would find SRA to be flexible to interact with.</v>
      </c>
      <c r="B108" s="14">
        <f>IFERROR(__xludf.DUMMYFUNCTION("""COMPUTED_VALUE"""),7.0)</f>
        <v>7</v>
      </c>
      <c r="D108" s="13" t="str">
        <f>IFERROR(__xludf.DUMMYFUNCTION("""COMPUTED_VALUE"""),"Using the SRA would enhance my effectiveness when developing a new NLP4RE tool.")</f>
        <v>Using the SRA would enhance my effectiveness when developing a new NLP4RE tool.</v>
      </c>
      <c r="E108" s="14">
        <f>IFERROR(__xludf.DUMMYFUNCTION("""COMPUTED_VALUE"""),5.0)</f>
        <v>5</v>
      </c>
    </row>
    <row r="109">
      <c r="A109" s="13" t="str">
        <f>IFERROR(__xludf.DUMMYFUNCTION("""COMPUTED_VALUE"""),"It would be easy for me to become skillful at using the SRA.")</f>
        <v>It would be easy for me to become skillful at using the SRA.</v>
      </c>
      <c r="B109" s="14">
        <f>IFERROR(__xludf.DUMMYFUNCTION("""COMPUTED_VALUE"""),6.0)</f>
        <v>6</v>
      </c>
      <c r="D109" s="13" t="str">
        <f>IFERROR(__xludf.DUMMYFUNCTION("""COMPUTED_VALUE"""),"Using the SRA would make it easier to develop a new NLP4RE tool.")</f>
        <v>Using the SRA would make it easier to develop a new NLP4RE tool.</v>
      </c>
      <c r="E109" s="14">
        <f>IFERROR(__xludf.DUMMYFUNCTION("""COMPUTED_VALUE"""),6.0)</f>
        <v>6</v>
      </c>
    </row>
    <row r="110">
      <c r="A110" s="13" t="str">
        <f>IFERROR(__xludf.DUMMYFUNCTION("""COMPUTED_VALUE"""),"I would find the SRA easy to use.")</f>
        <v>I would find the SRA easy to use.</v>
      </c>
      <c r="B110" s="14">
        <f>IFERROR(__xludf.DUMMYFUNCTION("""COMPUTED_VALUE"""),6.0)</f>
        <v>6</v>
      </c>
      <c r="D110" s="13" t="str">
        <f>IFERROR(__xludf.DUMMYFUNCTION("""COMPUTED_VALUE"""),"I would find the SRA useful for developing a new NLP4RE tool.")</f>
        <v>I would find the SRA useful for developing a new NLP4RE tool.</v>
      </c>
      <c r="E110" s="14">
        <f>IFERROR(__xludf.DUMMYFUNCTION("""COMPUTED_VALUE"""),7.0)</f>
        <v>7</v>
      </c>
    </row>
    <row r="111">
      <c r="A111" s="13" t="str">
        <f>IFERROR(__xludf.DUMMYFUNCTION("""COMPUTED_VALUE"""),"Learning to apply the SRA would be easy for me.")</f>
        <v>Learning to apply the SRA would be easy for me.</v>
      </c>
      <c r="B111" s="14">
        <f>IFERROR(__xludf.DUMMYFUNCTION("""COMPUTED_VALUE"""),5.0)</f>
        <v>5</v>
      </c>
      <c r="D111" s="13" t="str">
        <f>IFERROR(__xludf.DUMMYFUNCTION("""COMPUTED_VALUE"""),"Using the SRA for developing a new NLP4RE tool would enable me to accomplish tasks more quickly.")</f>
        <v>Using the SRA for developing a new NLP4RE tool would enable me to accomplish tasks more quickly.</v>
      </c>
      <c r="E111" s="14">
        <f>IFERROR(__xludf.DUMMYFUNCTION("""COMPUTED_VALUE"""),5.0)</f>
        <v>5</v>
      </c>
    </row>
    <row r="112">
      <c r="A112" s="13" t="str">
        <f>IFERROR(__xludf.DUMMYFUNCTION("""COMPUTED_VALUE"""),"I would find it easy to get the information I need out of the SRA.")</f>
        <v>I would find it easy to get the information I need out of the SRA.</v>
      </c>
      <c r="B112" s="14">
        <f>IFERROR(__xludf.DUMMYFUNCTION("""COMPUTED_VALUE"""),5.0)</f>
        <v>5</v>
      </c>
      <c r="D112" s="13" t="str">
        <f>IFERROR(__xludf.DUMMYFUNCTION("""COMPUTED_VALUE"""),"Using the SRA would improve my performance when developing an NLP4RE tool.")</f>
        <v>Using the SRA would improve my performance when developing an NLP4RE tool.</v>
      </c>
      <c r="E112" s="14">
        <f>IFERROR(__xludf.DUMMYFUNCTION("""COMPUTED_VALUE"""),5.0)</f>
        <v>5</v>
      </c>
    </row>
    <row r="113">
      <c r="A113" s="13" t="str">
        <f>IFERROR(__xludf.DUMMYFUNCTION("""COMPUTED_VALUE"""),"My interaction with the SRA would be clear and understandable.")</f>
        <v>My interaction with the SRA would be clear and understandable.</v>
      </c>
      <c r="B113" s="14">
        <f>IFERROR(__xludf.DUMMYFUNCTION("""COMPUTED_VALUE"""),5.0)</f>
        <v>5</v>
      </c>
      <c r="D113" s="13" t="str">
        <f>IFERROR(__xludf.DUMMYFUNCTION("""COMPUTED_VALUE"""),"Using the SRA when developing a new NLP4RE tool would increase my productivity.")</f>
        <v>Using the SRA when developing a new NLP4RE tool would increase my productivity.</v>
      </c>
      <c r="E113" s="14">
        <f>IFERROR(__xludf.DUMMYFUNCTION("""COMPUTED_VALUE"""),5.0)</f>
        <v>5</v>
      </c>
    </row>
    <row r="114">
      <c r="A114" s="13" t="str">
        <f>IFERROR(__xludf.DUMMYFUNCTION("""COMPUTED_VALUE"""),"I would find SRA to be flexible to interact with.")</f>
        <v>I would find SRA to be flexible to interact with.</v>
      </c>
      <c r="B114" s="14">
        <f>IFERROR(__xludf.DUMMYFUNCTION("""COMPUTED_VALUE"""),5.0)</f>
        <v>5</v>
      </c>
      <c r="D114" s="13" t="str">
        <f>IFERROR(__xludf.DUMMYFUNCTION("""COMPUTED_VALUE"""),"Using the SRA would enhance my effectiveness when developing a new NLP4RE tool.")</f>
        <v>Using the SRA would enhance my effectiveness when developing a new NLP4RE tool.</v>
      </c>
      <c r="E114" s="14">
        <f>IFERROR(__xludf.DUMMYFUNCTION("""COMPUTED_VALUE"""),5.0)</f>
        <v>5</v>
      </c>
    </row>
    <row r="115">
      <c r="A115" s="13" t="str">
        <f>IFERROR(__xludf.DUMMYFUNCTION("""COMPUTED_VALUE"""),"It would be easy for me to become skillful at using the SRA.")</f>
        <v>It would be easy for me to become skillful at using the SRA.</v>
      </c>
      <c r="B115" s="14">
        <f>IFERROR(__xludf.DUMMYFUNCTION("""COMPUTED_VALUE"""),5.0)</f>
        <v>5</v>
      </c>
      <c r="D115" s="13" t="str">
        <f>IFERROR(__xludf.DUMMYFUNCTION("""COMPUTED_VALUE"""),"Using the SRA would make it easier to develop a new NLP4RE tool.")</f>
        <v>Using the SRA would make it easier to develop a new NLP4RE tool.</v>
      </c>
      <c r="E115" s="14">
        <f>IFERROR(__xludf.DUMMYFUNCTION("""COMPUTED_VALUE"""),5.0)</f>
        <v>5</v>
      </c>
    </row>
    <row r="116">
      <c r="A116" s="13" t="str">
        <f>IFERROR(__xludf.DUMMYFUNCTION("""COMPUTED_VALUE"""),"I would find the SRA easy to use.")</f>
        <v>I would find the SRA easy to use.</v>
      </c>
      <c r="B116" s="14">
        <f>IFERROR(__xludf.DUMMYFUNCTION("""COMPUTED_VALUE"""),5.0)</f>
        <v>5</v>
      </c>
      <c r="D116" s="13" t="str">
        <f>IFERROR(__xludf.DUMMYFUNCTION("""COMPUTED_VALUE"""),"I would find the SRA useful for developing a new NLP4RE tool.")</f>
        <v>I would find the SRA useful for developing a new NLP4RE tool.</v>
      </c>
      <c r="E116" s="14">
        <f>IFERROR(__xludf.DUMMYFUNCTION("""COMPUTED_VALUE"""),5.0)</f>
        <v>5</v>
      </c>
    </row>
    <row r="117">
      <c r="A117" s="13" t="str">
        <f>IFERROR(__xludf.DUMMYFUNCTION("""COMPUTED_VALUE"""),"Learning to apply the SRA would be easy for me.")</f>
        <v>Learning to apply the SRA would be easy for me.</v>
      </c>
      <c r="B117" s="14">
        <f>IFERROR(__xludf.DUMMYFUNCTION("""COMPUTED_VALUE"""),7.0)</f>
        <v>7</v>
      </c>
      <c r="D117" s="13" t="str">
        <f>IFERROR(__xludf.DUMMYFUNCTION("""COMPUTED_VALUE"""),"Using the SRA for developing a new NLP4RE tool would enable me to accomplish tasks more quickly.")</f>
        <v>Using the SRA for developing a new NLP4RE tool would enable me to accomplish tasks more quickly.</v>
      </c>
      <c r="E117" s="14">
        <f>IFERROR(__xludf.DUMMYFUNCTION("""COMPUTED_VALUE"""),6.0)</f>
        <v>6</v>
      </c>
    </row>
    <row r="118">
      <c r="A118" s="13" t="str">
        <f>IFERROR(__xludf.DUMMYFUNCTION("""COMPUTED_VALUE"""),"I would find it easy to get the information I need out of the SRA.")</f>
        <v>I would find it easy to get the information I need out of the SRA.</v>
      </c>
      <c r="B118" s="14">
        <f>IFERROR(__xludf.DUMMYFUNCTION("""COMPUTED_VALUE"""),6.0)</f>
        <v>6</v>
      </c>
      <c r="D118" s="13" t="str">
        <f>IFERROR(__xludf.DUMMYFUNCTION("""COMPUTED_VALUE"""),"Using the SRA would improve my performance when developing an NLP4RE tool.")</f>
        <v>Using the SRA would improve my performance when developing an NLP4RE tool.</v>
      </c>
      <c r="E118" s="14">
        <f>IFERROR(__xludf.DUMMYFUNCTION("""COMPUTED_VALUE"""),5.0)</f>
        <v>5</v>
      </c>
    </row>
    <row r="119">
      <c r="A119" s="13" t="str">
        <f>IFERROR(__xludf.DUMMYFUNCTION("""COMPUTED_VALUE"""),"My interaction with the SRA would be clear and understandable.")</f>
        <v>My interaction with the SRA would be clear and understandable.</v>
      </c>
      <c r="B119" s="14">
        <f>IFERROR(__xludf.DUMMYFUNCTION("""COMPUTED_VALUE"""),6.0)</f>
        <v>6</v>
      </c>
      <c r="D119" s="13" t="str">
        <f>IFERROR(__xludf.DUMMYFUNCTION("""COMPUTED_VALUE"""),"Using the SRA when developing a new NLP4RE tool would increase my productivity.")</f>
        <v>Using the SRA when developing a new NLP4RE tool would increase my productivity.</v>
      </c>
      <c r="E119" s="14">
        <f>IFERROR(__xludf.DUMMYFUNCTION("""COMPUTED_VALUE"""),6.0)</f>
        <v>6</v>
      </c>
    </row>
    <row r="120">
      <c r="A120" s="13" t="str">
        <f>IFERROR(__xludf.DUMMYFUNCTION("""COMPUTED_VALUE"""),"I would find SRA to be flexible to interact with.")</f>
        <v>I would find SRA to be flexible to interact with.</v>
      </c>
      <c r="B120" s="14">
        <f>IFERROR(__xludf.DUMMYFUNCTION("""COMPUTED_VALUE"""),4.0)</f>
        <v>4</v>
      </c>
      <c r="D120" s="13" t="str">
        <f>IFERROR(__xludf.DUMMYFUNCTION("""COMPUTED_VALUE"""),"Using the SRA would enhance my effectiveness when developing a new NLP4RE tool.")</f>
        <v>Using the SRA would enhance my effectiveness when developing a new NLP4RE tool.</v>
      </c>
      <c r="E120" s="14">
        <f>IFERROR(__xludf.DUMMYFUNCTION("""COMPUTED_VALUE"""),6.0)</f>
        <v>6</v>
      </c>
    </row>
    <row r="121">
      <c r="A121" s="13" t="str">
        <f>IFERROR(__xludf.DUMMYFUNCTION("""COMPUTED_VALUE"""),"It would be easy for me to become skillful at using the SRA.")</f>
        <v>It would be easy for me to become skillful at using the SRA.</v>
      </c>
      <c r="B121" s="14">
        <f>IFERROR(__xludf.DUMMYFUNCTION("""COMPUTED_VALUE"""),7.0)</f>
        <v>7</v>
      </c>
      <c r="D121" s="13" t="str">
        <f>IFERROR(__xludf.DUMMYFUNCTION("""COMPUTED_VALUE"""),"Using the SRA would make it easier to develop a new NLP4RE tool.")</f>
        <v>Using the SRA would make it easier to develop a new NLP4RE tool.</v>
      </c>
      <c r="E121" s="14">
        <f>IFERROR(__xludf.DUMMYFUNCTION("""COMPUTED_VALUE"""),5.0)</f>
        <v>5</v>
      </c>
    </row>
    <row r="122">
      <c r="A122" s="13" t="str">
        <f>IFERROR(__xludf.DUMMYFUNCTION("""COMPUTED_VALUE"""),"I would find the SRA easy to use.")</f>
        <v>I would find the SRA easy to use.</v>
      </c>
      <c r="B122" s="14">
        <f>IFERROR(__xludf.DUMMYFUNCTION("""COMPUTED_VALUE"""),5.0)</f>
        <v>5</v>
      </c>
      <c r="D122" s="13" t="str">
        <f>IFERROR(__xludf.DUMMYFUNCTION("""COMPUTED_VALUE"""),"I would find the SRA useful for developing a new NLP4RE tool.")</f>
        <v>I would find the SRA useful for developing a new NLP4RE tool.</v>
      </c>
      <c r="E122" s="14">
        <f>IFERROR(__xludf.DUMMYFUNCTION("""COMPUTED_VALUE"""),6.0)</f>
        <v>6</v>
      </c>
    </row>
    <row r="123">
      <c r="A123" s="13" t="str">
        <f>IFERROR(__xludf.DUMMYFUNCTION("""COMPUTED_VALUE"""),"Learning to apply the SRA would be easy for me.")</f>
        <v>Learning to apply the SRA would be easy for me.</v>
      </c>
      <c r="B123" s="14">
        <f>IFERROR(__xludf.DUMMYFUNCTION("""COMPUTED_VALUE"""),5.0)</f>
        <v>5</v>
      </c>
      <c r="D123" s="13" t="str">
        <f>IFERROR(__xludf.DUMMYFUNCTION("""COMPUTED_VALUE"""),"Using the SRA for developing a new NLP4RE tool would enable me to accomplish tasks more quickly.")</f>
        <v>Using the SRA for developing a new NLP4RE tool would enable me to accomplish tasks more quickly.</v>
      </c>
      <c r="E123" s="14">
        <f>IFERROR(__xludf.DUMMYFUNCTION("""COMPUTED_VALUE"""),6.0)</f>
        <v>6</v>
      </c>
    </row>
    <row r="124">
      <c r="A124" s="13" t="str">
        <f>IFERROR(__xludf.DUMMYFUNCTION("""COMPUTED_VALUE"""),"I would find it easy to get the information I need out of the SRA.")</f>
        <v>I would find it easy to get the information I need out of the SRA.</v>
      </c>
      <c r="B124" s="14">
        <f>IFERROR(__xludf.DUMMYFUNCTION("""COMPUTED_VALUE"""),4.0)</f>
        <v>4</v>
      </c>
      <c r="D124" s="13" t="str">
        <f>IFERROR(__xludf.DUMMYFUNCTION("""COMPUTED_VALUE"""),"Using the SRA would improve my performance when developing an NLP4RE tool.")</f>
        <v>Using the SRA would improve my performance when developing an NLP4RE tool.</v>
      </c>
      <c r="E124" s="14">
        <f>IFERROR(__xludf.DUMMYFUNCTION("""COMPUTED_VALUE"""),7.0)</f>
        <v>7</v>
      </c>
    </row>
    <row r="125">
      <c r="A125" s="13" t="str">
        <f>IFERROR(__xludf.DUMMYFUNCTION("""COMPUTED_VALUE"""),"My interaction with the SRA would be clear and understandable.")</f>
        <v>My interaction with the SRA would be clear and understandable.</v>
      </c>
      <c r="B125" s="14">
        <f>IFERROR(__xludf.DUMMYFUNCTION("""COMPUTED_VALUE"""),4.0)</f>
        <v>4</v>
      </c>
      <c r="D125" s="13" t="str">
        <f>IFERROR(__xludf.DUMMYFUNCTION("""COMPUTED_VALUE"""),"Using the SRA when developing a new NLP4RE tool would increase my productivity.")</f>
        <v>Using the SRA when developing a new NLP4RE tool would increase my productivity.</v>
      </c>
      <c r="E125" s="14">
        <f>IFERROR(__xludf.DUMMYFUNCTION("""COMPUTED_VALUE"""),5.0)</f>
        <v>5</v>
      </c>
    </row>
    <row r="126">
      <c r="A126" s="13" t="str">
        <f>IFERROR(__xludf.DUMMYFUNCTION("""COMPUTED_VALUE"""),"I would find SRA to be flexible to interact with.")</f>
        <v>I would find SRA to be flexible to interact with.</v>
      </c>
      <c r="B126" s="14">
        <f>IFERROR(__xludf.DUMMYFUNCTION("""COMPUTED_VALUE"""),6.0)</f>
        <v>6</v>
      </c>
      <c r="D126" s="13" t="str">
        <f>IFERROR(__xludf.DUMMYFUNCTION("""COMPUTED_VALUE"""),"Using the SRA would enhance my effectiveness when developing a new NLP4RE tool.")</f>
        <v>Using the SRA would enhance my effectiveness when developing a new NLP4RE tool.</v>
      </c>
      <c r="E126" s="14">
        <f>IFERROR(__xludf.DUMMYFUNCTION("""COMPUTED_VALUE"""),5.0)</f>
        <v>5</v>
      </c>
    </row>
    <row r="127">
      <c r="A127" s="13" t="str">
        <f>IFERROR(__xludf.DUMMYFUNCTION("""COMPUTED_VALUE"""),"It would be easy for me to become skillful at using the SRA.")</f>
        <v>It would be easy for me to become skillful at using the SRA.</v>
      </c>
      <c r="B127" s="14">
        <f>IFERROR(__xludf.DUMMYFUNCTION("""COMPUTED_VALUE"""),5.0)</f>
        <v>5</v>
      </c>
      <c r="D127" s="13" t="str">
        <f>IFERROR(__xludf.DUMMYFUNCTION("""COMPUTED_VALUE"""),"Using the SRA would make it easier to develop a new NLP4RE tool.")</f>
        <v>Using the SRA would make it easier to develop a new NLP4RE tool.</v>
      </c>
      <c r="E127" s="14">
        <f>IFERROR(__xludf.DUMMYFUNCTION("""COMPUTED_VALUE"""),6.0)</f>
        <v>6</v>
      </c>
    </row>
    <row r="128">
      <c r="A128" s="13" t="str">
        <f>IFERROR(__xludf.DUMMYFUNCTION("""COMPUTED_VALUE"""),"I would find the SRA easy to use.")</f>
        <v>I would find the SRA easy to use.</v>
      </c>
      <c r="B128" s="14">
        <f>IFERROR(__xludf.DUMMYFUNCTION("""COMPUTED_VALUE"""),4.0)</f>
        <v>4</v>
      </c>
      <c r="D128" s="13" t="str">
        <f>IFERROR(__xludf.DUMMYFUNCTION("""COMPUTED_VALUE"""),"I would find the SRA useful for developing a new NLP4RE tool.")</f>
        <v>I would find the SRA useful for developing a new NLP4RE tool.</v>
      </c>
      <c r="E128" s="14">
        <f>IFERROR(__xludf.DUMMYFUNCTION("""COMPUTED_VALUE"""),6.0)</f>
        <v>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s>
  <sheetData>
    <row r="1">
      <c r="A1" s="15"/>
      <c r="B1" s="10" t="s">
        <v>207</v>
      </c>
      <c r="C1" s="10" t="s">
        <v>208</v>
      </c>
      <c r="D1" s="10" t="s">
        <v>209</v>
      </c>
      <c r="E1" s="10" t="s">
        <v>210</v>
      </c>
      <c r="F1" s="10" t="s">
        <v>211</v>
      </c>
    </row>
    <row r="2">
      <c r="A2" s="16" t="s">
        <v>5</v>
      </c>
      <c r="B2" s="13">
        <f>COUNTIF(Results!$F2:$F1005,1)</f>
        <v>7</v>
      </c>
      <c r="C2" s="13">
        <f>COUNTIF(Results!$F2:$F1005,2)</f>
        <v>8</v>
      </c>
      <c r="D2" s="13">
        <f>COUNTIF(Results!$F2:$F1005,3)</f>
        <v>3</v>
      </c>
      <c r="E2" s="13">
        <f>COUNTIF(Results!$F2:$F1005,4)</f>
        <v>3</v>
      </c>
      <c r="F2" s="13">
        <f>COUNTIF(Results!$G4:$G1005,5)</f>
        <v>0</v>
      </c>
    </row>
    <row r="3">
      <c r="A3" s="15"/>
    </row>
    <row r="4">
      <c r="A4" s="15"/>
      <c r="B4" s="10" t="s">
        <v>41</v>
      </c>
      <c r="C4" s="10" t="s">
        <v>42</v>
      </c>
    </row>
    <row r="5">
      <c r="A5" s="17" t="s">
        <v>6</v>
      </c>
      <c r="B5" s="13">
        <f>COUNTIF(Results!$H2:$H1005,B4)</f>
        <v>17</v>
      </c>
      <c r="C5" s="13">
        <f>COUNTIF(Results!$H2:$H1005,C4)</f>
        <v>4</v>
      </c>
    </row>
    <row r="6">
      <c r="A6" s="15"/>
    </row>
    <row r="7">
      <c r="A7" s="17"/>
      <c r="B7" s="10" t="s">
        <v>41</v>
      </c>
      <c r="C7" s="10" t="s">
        <v>42</v>
      </c>
    </row>
    <row r="8">
      <c r="A8" s="17" t="s">
        <v>7</v>
      </c>
      <c r="B8" s="13">
        <f>COUNTIF(Results!$I2:$I1005,B7)</f>
        <v>2</v>
      </c>
      <c r="C8" s="13">
        <f>COUNTIF(Results!$I2:$I1005,C7)</f>
        <v>19</v>
      </c>
    </row>
    <row r="9">
      <c r="A9" s="15"/>
    </row>
    <row r="10">
      <c r="A10" s="17"/>
      <c r="B10" s="10" t="s">
        <v>41</v>
      </c>
      <c r="C10" s="10" t="s">
        <v>42</v>
      </c>
    </row>
    <row r="11">
      <c r="A11" s="17" t="s">
        <v>8</v>
      </c>
      <c r="B11" s="13">
        <f>COUNTIF(Results!$I2:I1005,B10)</f>
        <v>2</v>
      </c>
      <c r="C11" s="13">
        <f>COUNTIF(Results!$I2:I1005,C10)</f>
        <v>19</v>
      </c>
    </row>
    <row r="12">
      <c r="A12" s="15"/>
    </row>
    <row r="13">
      <c r="A13" s="17"/>
      <c r="B13" s="10" t="s">
        <v>43</v>
      </c>
      <c r="C13" s="10" t="s">
        <v>52</v>
      </c>
      <c r="D13" s="10" t="s">
        <v>212</v>
      </c>
      <c r="E13" s="10" t="s">
        <v>69</v>
      </c>
    </row>
    <row r="14">
      <c r="A14" s="17" t="s">
        <v>213</v>
      </c>
      <c r="B14" s="13">
        <f>COUNTIF(Results!$J2:J1005,B13)</f>
        <v>9</v>
      </c>
      <c r="C14" s="13">
        <f>COUNTIF(Results!$J2:K1005,C13)</f>
        <v>11</v>
      </c>
      <c r="D14" s="13">
        <f>COUNTIF(Results!$J2:L1005,D13)</f>
        <v>0</v>
      </c>
      <c r="E14" s="13">
        <f>COUNTIF(Results!$J4:M1005,E13)</f>
        <v>1</v>
      </c>
    </row>
    <row r="15">
      <c r="A15" s="15"/>
    </row>
    <row r="16">
      <c r="A16" s="17"/>
      <c r="B16" s="10" t="s">
        <v>41</v>
      </c>
      <c r="C16" s="10" t="s">
        <v>42</v>
      </c>
      <c r="D16" s="10" t="s">
        <v>60</v>
      </c>
    </row>
    <row r="17">
      <c r="A17" s="17" t="s">
        <v>10</v>
      </c>
      <c r="B17" s="13">
        <f>COUNTIF(Results!$K2:K1005,B16)</f>
        <v>9</v>
      </c>
      <c r="C17" s="13">
        <f>COUNTIF(Results!$K2:L1005,C16)</f>
        <v>10</v>
      </c>
      <c r="D17" s="13">
        <f>COUNTIF(Results!$K2:M1005,D16)</f>
        <v>2</v>
      </c>
    </row>
    <row r="18">
      <c r="A18" s="15"/>
    </row>
    <row r="19">
      <c r="A19" s="15"/>
    </row>
    <row r="20">
      <c r="A20" s="15"/>
    </row>
    <row r="21">
      <c r="A21" s="15"/>
    </row>
    <row r="22">
      <c r="A22" s="15"/>
    </row>
    <row r="23">
      <c r="A23" s="15"/>
    </row>
    <row r="24">
      <c r="A24" s="15"/>
    </row>
    <row r="25">
      <c r="A25" s="15"/>
    </row>
    <row r="26">
      <c r="A26" s="15"/>
    </row>
    <row r="27">
      <c r="A27" s="15"/>
    </row>
    <row r="28">
      <c r="A28" s="15"/>
    </row>
    <row r="29">
      <c r="A29" s="15"/>
    </row>
    <row r="30">
      <c r="A30" s="15"/>
    </row>
    <row r="31">
      <c r="A31" s="15"/>
    </row>
    <row r="32">
      <c r="A32" s="15"/>
    </row>
    <row r="33">
      <c r="A33" s="15"/>
    </row>
    <row r="34">
      <c r="A34" s="15"/>
    </row>
    <row r="35">
      <c r="A35" s="15"/>
    </row>
    <row r="36">
      <c r="A36" s="15"/>
    </row>
    <row r="37">
      <c r="A37" s="15"/>
    </row>
    <row r="38">
      <c r="A38" s="15"/>
    </row>
    <row r="39">
      <c r="A39" s="15"/>
    </row>
    <row r="40">
      <c r="A40" s="15"/>
    </row>
    <row r="41">
      <c r="A41" s="15"/>
    </row>
    <row r="42">
      <c r="A42" s="15"/>
    </row>
    <row r="43">
      <c r="A43" s="15"/>
    </row>
    <row r="44">
      <c r="A44" s="15"/>
    </row>
    <row r="45">
      <c r="A45" s="15"/>
    </row>
    <row r="46">
      <c r="A46" s="15"/>
    </row>
    <row r="47">
      <c r="A47" s="15"/>
    </row>
    <row r="48">
      <c r="A48" s="15"/>
    </row>
    <row r="49">
      <c r="A49" s="15"/>
    </row>
    <row r="50">
      <c r="A50" s="15"/>
    </row>
    <row r="51">
      <c r="A51" s="15"/>
    </row>
    <row r="52">
      <c r="A52" s="15"/>
    </row>
    <row r="53">
      <c r="A53" s="15"/>
    </row>
    <row r="54">
      <c r="A54" s="15"/>
    </row>
    <row r="55">
      <c r="A55" s="15"/>
    </row>
    <row r="56">
      <c r="A56" s="15"/>
    </row>
    <row r="57">
      <c r="A57" s="15"/>
    </row>
    <row r="58">
      <c r="A58" s="15"/>
    </row>
    <row r="59">
      <c r="A59" s="15"/>
    </row>
    <row r="60">
      <c r="A60" s="15"/>
    </row>
    <row r="61">
      <c r="A61" s="15"/>
    </row>
    <row r="62">
      <c r="A62" s="15"/>
    </row>
    <row r="63">
      <c r="A63" s="15"/>
    </row>
    <row r="64">
      <c r="A64" s="15"/>
    </row>
    <row r="65">
      <c r="A65" s="15"/>
    </row>
    <row r="66">
      <c r="A66" s="15"/>
    </row>
    <row r="67">
      <c r="A67" s="15"/>
    </row>
    <row r="68">
      <c r="A68" s="15"/>
    </row>
    <row r="69">
      <c r="A69" s="15"/>
    </row>
    <row r="70">
      <c r="A70" s="15"/>
    </row>
    <row r="71">
      <c r="A71" s="15"/>
    </row>
    <row r="72">
      <c r="A72" s="15"/>
    </row>
    <row r="73">
      <c r="A73" s="15"/>
    </row>
    <row r="74">
      <c r="A74" s="15"/>
    </row>
    <row r="75">
      <c r="A75" s="15"/>
    </row>
    <row r="76">
      <c r="A76" s="15"/>
    </row>
    <row r="77">
      <c r="A77" s="15"/>
    </row>
    <row r="78">
      <c r="A78" s="15"/>
    </row>
    <row r="79">
      <c r="A79" s="15"/>
    </row>
    <row r="80">
      <c r="A80" s="15"/>
    </row>
    <row r="81">
      <c r="A81" s="15"/>
    </row>
    <row r="82">
      <c r="A82" s="15"/>
    </row>
    <row r="83">
      <c r="A83" s="15"/>
    </row>
    <row r="84">
      <c r="A84" s="15"/>
    </row>
    <row r="85">
      <c r="A85" s="15"/>
    </row>
    <row r="86">
      <c r="A86" s="15"/>
    </row>
    <row r="87">
      <c r="A87" s="15"/>
    </row>
    <row r="88">
      <c r="A88" s="15"/>
    </row>
    <row r="89">
      <c r="A89" s="15"/>
    </row>
    <row r="90">
      <c r="A90" s="15"/>
    </row>
    <row r="91">
      <c r="A91" s="15"/>
    </row>
    <row r="92">
      <c r="A92" s="15"/>
    </row>
    <row r="93">
      <c r="A93" s="15"/>
    </row>
    <row r="94">
      <c r="A94" s="15"/>
    </row>
    <row r="95">
      <c r="A95" s="15"/>
    </row>
    <row r="96">
      <c r="A96" s="15"/>
    </row>
    <row r="97">
      <c r="A97" s="15"/>
    </row>
    <row r="98">
      <c r="A98" s="15"/>
    </row>
    <row r="99">
      <c r="A99" s="15"/>
    </row>
    <row r="100">
      <c r="A100" s="15"/>
    </row>
    <row r="101">
      <c r="A101" s="15"/>
    </row>
    <row r="102">
      <c r="A102" s="15"/>
    </row>
    <row r="103">
      <c r="A103" s="15"/>
    </row>
    <row r="104">
      <c r="A104" s="15"/>
    </row>
    <row r="105">
      <c r="A105" s="15"/>
    </row>
    <row r="106">
      <c r="A106" s="15"/>
    </row>
    <row r="107">
      <c r="A107" s="15"/>
    </row>
    <row r="108">
      <c r="A108" s="15"/>
    </row>
    <row r="109">
      <c r="A109" s="15"/>
    </row>
    <row r="110">
      <c r="A110" s="15"/>
    </row>
    <row r="111">
      <c r="A111" s="15"/>
    </row>
    <row r="112">
      <c r="A112" s="15"/>
    </row>
    <row r="113">
      <c r="A113" s="15"/>
    </row>
    <row r="114">
      <c r="A114" s="15"/>
    </row>
    <row r="115">
      <c r="A115" s="15"/>
    </row>
    <row r="116">
      <c r="A116" s="15"/>
    </row>
    <row r="117">
      <c r="A117" s="15"/>
    </row>
    <row r="118">
      <c r="A118" s="15"/>
    </row>
    <row r="119">
      <c r="A119" s="15"/>
    </row>
    <row r="120">
      <c r="A120" s="15"/>
    </row>
    <row r="121">
      <c r="A121" s="15"/>
    </row>
    <row r="122">
      <c r="A122" s="15"/>
    </row>
    <row r="123">
      <c r="A123" s="15"/>
    </row>
    <row r="124">
      <c r="A124" s="15"/>
    </row>
    <row r="125">
      <c r="A125" s="15"/>
    </row>
    <row r="126">
      <c r="A126" s="15"/>
    </row>
    <row r="127">
      <c r="A127" s="15"/>
    </row>
    <row r="128">
      <c r="A128" s="15"/>
    </row>
    <row r="129">
      <c r="A129" s="15"/>
    </row>
    <row r="130">
      <c r="A130" s="15"/>
    </row>
    <row r="131">
      <c r="A131" s="15"/>
    </row>
    <row r="132">
      <c r="A132" s="15"/>
    </row>
    <row r="133">
      <c r="A133" s="15"/>
    </row>
    <row r="134">
      <c r="A134" s="15"/>
    </row>
    <row r="135">
      <c r="A135" s="15"/>
    </row>
    <row r="136">
      <c r="A136" s="15"/>
    </row>
    <row r="137">
      <c r="A137" s="15"/>
    </row>
    <row r="138">
      <c r="A138" s="15"/>
    </row>
    <row r="139">
      <c r="A139" s="15"/>
    </row>
    <row r="140">
      <c r="A140" s="15"/>
    </row>
    <row r="141">
      <c r="A141" s="15"/>
    </row>
    <row r="142">
      <c r="A142" s="15"/>
    </row>
    <row r="143">
      <c r="A143" s="15"/>
    </row>
    <row r="144">
      <c r="A144" s="15"/>
    </row>
    <row r="145">
      <c r="A145" s="15"/>
    </row>
    <row r="146">
      <c r="A146" s="15"/>
    </row>
    <row r="147">
      <c r="A147" s="15"/>
    </row>
    <row r="148">
      <c r="A148" s="15"/>
    </row>
    <row r="149">
      <c r="A149" s="15"/>
    </row>
    <row r="150">
      <c r="A150" s="15"/>
    </row>
    <row r="151">
      <c r="A151" s="15"/>
    </row>
    <row r="152">
      <c r="A152" s="15"/>
    </row>
    <row r="153">
      <c r="A153" s="15"/>
    </row>
    <row r="154">
      <c r="A154" s="15"/>
    </row>
    <row r="155">
      <c r="A155" s="15"/>
    </row>
    <row r="156">
      <c r="A156" s="15"/>
    </row>
    <row r="157">
      <c r="A157" s="15"/>
    </row>
    <row r="158">
      <c r="A158" s="15"/>
    </row>
    <row r="159">
      <c r="A159" s="15"/>
    </row>
    <row r="160">
      <c r="A160" s="15"/>
    </row>
    <row r="161">
      <c r="A161" s="15"/>
    </row>
    <row r="162">
      <c r="A162" s="15"/>
    </row>
    <row r="163">
      <c r="A163" s="15"/>
    </row>
    <row r="164">
      <c r="A164" s="15"/>
    </row>
    <row r="165">
      <c r="A165" s="15"/>
    </row>
    <row r="166">
      <c r="A166" s="15"/>
    </row>
    <row r="167">
      <c r="A167" s="15"/>
    </row>
    <row r="168">
      <c r="A168" s="15"/>
    </row>
    <row r="169">
      <c r="A169" s="15"/>
    </row>
    <row r="170">
      <c r="A170" s="15"/>
    </row>
    <row r="171">
      <c r="A171" s="15"/>
    </row>
    <row r="172">
      <c r="A172" s="15"/>
    </row>
    <row r="173">
      <c r="A173" s="15"/>
    </row>
    <row r="174">
      <c r="A174" s="15"/>
    </row>
    <row r="175">
      <c r="A175" s="15"/>
    </row>
    <row r="176">
      <c r="A176" s="15"/>
    </row>
    <row r="177">
      <c r="A177" s="15"/>
    </row>
    <row r="178">
      <c r="A178" s="15"/>
    </row>
    <row r="179">
      <c r="A179" s="15"/>
    </row>
    <row r="180">
      <c r="A180" s="15"/>
    </row>
    <row r="181">
      <c r="A181" s="15"/>
    </row>
    <row r="182">
      <c r="A182" s="15"/>
    </row>
    <row r="183">
      <c r="A183" s="15"/>
    </row>
    <row r="184">
      <c r="A184" s="15"/>
    </row>
    <row r="185">
      <c r="A185" s="15"/>
    </row>
    <row r="186">
      <c r="A186" s="15"/>
    </row>
    <row r="187">
      <c r="A187" s="15"/>
    </row>
    <row r="188">
      <c r="A188" s="15"/>
    </row>
    <row r="189">
      <c r="A189" s="15"/>
    </row>
    <row r="190">
      <c r="A190" s="15"/>
    </row>
    <row r="191">
      <c r="A191" s="15"/>
    </row>
    <row r="192">
      <c r="A192" s="15"/>
    </row>
    <row r="193">
      <c r="A193" s="15"/>
    </row>
    <row r="194">
      <c r="A194" s="15"/>
    </row>
    <row r="195">
      <c r="A195" s="15"/>
    </row>
    <row r="196">
      <c r="A196" s="15"/>
    </row>
    <row r="197">
      <c r="A197" s="15"/>
    </row>
    <row r="198">
      <c r="A198" s="15"/>
    </row>
    <row r="199">
      <c r="A199" s="15"/>
    </row>
    <row r="200">
      <c r="A200" s="15"/>
    </row>
    <row r="201">
      <c r="A201" s="15"/>
    </row>
    <row r="202">
      <c r="A202" s="15"/>
    </row>
    <row r="203">
      <c r="A203" s="15"/>
    </row>
    <row r="204">
      <c r="A204" s="15"/>
    </row>
    <row r="205">
      <c r="A205" s="15"/>
    </row>
    <row r="206">
      <c r="A206" s="15"/>
    </row>
    <row r="207">
      <c r="A207" s="15"/>
    </row>
    <row r="208">
      <c r="A208" s="15"/>
    </row>
    <row r="209">
      <c r="A209" s="15"/>
    </row>
    <row r="210">
      <c r="A210" s="15"/>
    </row>
    <row r="211">
      <c r="A211" s="15"/>
    </row>
    <row r="212">
      <c r="A212" s="15"/>
    </row>
    <row r="213">
      <c r="A213" s="15"/>
    </row>
    <row r="214">
      <c r="A214" s="15"/>
    </row>
    <row r="215">
      <c r="A215" s="15"/>
    </row>
    <row r="216">
      <c r="A216" s="15"/>
    </row>
    <row r="217">
      <c r="A217" s="15"/>
    </row>
    <row r="218">
      <c r="A218" s="15"/>
    </row>
    <row r="219">
      <c r="A219" s="15"/>
    </row>
    <row r="220">
      <c r="A220" s="15"/>
    </row>
    <row r="221">
      <c r="A221" s="15"/>
    </row>
    <row r="222">
      <c r="A222" s="15"/>
    </row>
    <row r="223">
      <c r="A223" s="15"/>
    </row>
    <row r="224">
      <c r="A224" s="15"/>
    </row>
    <row r="225">
      <c r="A225" s="15"/>
    </row>
    <row r="226">
      <c r="A226" s="15"/>
    </row>
    <row r="227">
      <c r="A227" s="15"/>
    </row>
    <row r="228">
      <c r="A228" s="15"/>
    </row>
    <row r="229">
      <c r="A229" s="15"/>
    </row>
    <row r="230">
      <c r="A230" s="15"/>
    </row>
    <row r="231">
      <c r="A231" s="15"/>
    </row>
    <row r="232">
      <c r="A232" s="15"/>
    </row>
    <row r="233">
      <c r="A233" s="15"/>
    </row>
    <row r="234">
      <c r="A234" s="15"/>
    </row>
    <row r="235">
      <c r="A235" s="15"/>
    </row>
    <row r="236">
      <c r="A236" s="15"/>
    </row>
    <row r="237">
      <c r="A237" s="15"/>
    </row>
    <row r="238">
      <c r="A238" s="15"/>
    </row>
    <row r="239">
      <c r="A239" s="15"/>
    </row>
    <row r="240">
      <c r="A240" s="15"/>
    </row>
    <row r="241">
      <c r="A241" s="15"/>
    </row>
    <row r="242">
      <c r="A242" s="15"/>
    </row>
    <row r="243">
      <c r="A243" s="15"/>
    </row>
    <row r="244">
      <c r="A244" s="15"/>
    </row>
    <row r="245">
      <c r="A245" s="15"/>
    </row>
    <row r="246">
      <c r="A246" s="15"/>
    </row>
    <row r="247">
      <c r="A247" s="15"/>
    </row>
    <row r="248">
      <c r="A248" s="15"/>
    </row>
    <row r="249">
      <c r="A249" s="15"/>
    </row>
    <row r="250">
      <c r="A250" s="15"/>
    </row>
    <row r="251">
      <c r="A251" s="15"/>
    </row>
    <row r="252">
      <c r="A252" s="15"/>
    </row>
    <row r="253">
      <c r="A253" s="15"/>
    </row>
    <row r="254">
      <c r="A254" s="15"/>
    </row>
    <row r="255">
      <c r="A255" s="15"/>
    </row>
    <row r="256">
      <c r="A256" s="15"/>
    </row>
    <row r="257">
      <c r="A257" s="15"/>
    </row>
    <row r="258">
      <c r="A258" s="15"/>
    </row>
    <row r="259">
      <c r="A259" s="15"/>
    </row>
    <row r="260">
      <c r="A260" s="15"/>
    </row>
    <row r="261">
      <c r="A261" s="15"/>
    </row>
    <row r="262">
      <c r="A262" s="15"/>
    </row>
    <row r="263">
      <c r="A263" s="15"/>
    </row>
    <row r="264">
      <c r="A264" s="15"/>
    </row>
    <row r="265">
      <c r="A265" s="15"/>
    </row>
    <row r="266">
      <c r="A266" s="15"/>
    </row>
    <row r="267">
      <c r="A267" s="15"/>
    </row>
    <row r="268">
      <c r="A268" s="15"/>
    </row>
    <row r="269">
      <c r="A269" s="15"/>
    </row>
    <row r="270">
      <c r="A270" s="15"/>
    </row>
    <row r="271">
      <c r="A271" s="15"/>
    </row>
    <row r="272">
      <c r="A272" s="15"/>
    </row>
    <row r="273">
      <c r="A273" s="15"/>
    </row>
    <row r="274">
      <c r="A274" s="15"/>
    </row>
    <row r="275">
      <c r="A275" s="15"/>
    </row>
    <row r="276">
      <c r="A276" s="15"/>
    </row>
    <row r="277">
      <c r="A277" s="15"/>
    </row>
    <row r="278">
      <c r="A278" s="15"/>
    </row>
    <row r="279">
      <c r="A279" s="15"/>
    </row>
    <row r="280">
      <c r="A280" s="15"/>
    </row>
    <row r="281">
      <c r="A281" s="15"/>
    </row>
    <row r="282">
      <c r="A282" s="15"/>
    </row>
    <row r="283">
      <c r="A283" s="15"/>
    </row>
    <row r="284">
      <c r="A284" s="15"/>
    </row>
    <row r="285">
      <c r="A285" s="15"/>
    </row>
    <row r="286">
      <c r="A286" s="15"/>
    </row>
    <row r="287">
      <c r="A287" s="15"/>
    </row>
    <row r="288">
      <c r="A288" s="15"/>
    </row>
    <row r="289">
      <c r="A289" s="15"/>
    </row>
    <row r="290">
      <c r="A290" s="15"/>
    </row>
    <row r="291">
      <c r="A291" s="15"/>
    </row>
    <row r="292">
      <c r="A292" s="15"/>
    </row>
    <row r="293">
      <c r="A293" s="15"/>
    </row>
    <row r="294">
      <c r="A294" s="15"/>
    </row>
    <row r="295">
      <c r="A295" s="15"/>
    </row>
    <row r="296">
      <c r="A296" s="15"/>
    </row>
    <row r="297">
      <c r="A297" s="15"/>
    </row>
    <row r="298">
      <c r="A298" s="15"/>
    </row>
    <row r="299">
      <c r="A299" s="15"/>
    </row>
    <row r="300">
      <c r="A300" s="15"/>
    </row>
    <row r="301">
      <c r="A301" s="15"/>
    </row>
    <row r="302">
      <c r="A302" s="15"/>
    </row>
    <row r="303">
      <c r="A303" s="15"/>
    </row>
    <row r="304">
      <c r="A304" s="15"/>
    </row>
    <row r="305">
      <c r="A305" s="15"/>
    </row>
    <row r="306">
      <c r="A306" s="15"/>
    </row>
    <row r="307">
      <c r="A307" s="15"/>
    </row>
    <row r="308">
      <c r="A308" s="15"/>
    </row>
    <row r="309">
      <c r="A309" s="15"/>
    </row>
    <row r="310">
      <c r="A310" s="15"/>
    </row>
    <row r="311">
      <c r="A311" s="15"/>
    </row>
    <row r="312">
      <c r="A312" s="15"/>
    </row>
    <row r="313">
      <c r="A313" s="15"/>
    </row>
    <row r="314">
      <c r="A314" s="15"/>
    </row>
    <row r="315">
      <c r="A315" s="15"/>
    </row>
    <row r="316">
      <c r="A316" s="15"/>
    </row>
    <row r="317">
      <c r="A317" s="15"/>
    </row>
    <row r="318">
      <c r="A318" s="15"/>
    </row>
    <row r="319">
      <c r="A319" s="15"/>
    </row>
    <row r="320">
      <c r="A320" s="15"/>
    </row>
    <row r="321">
      <c r="A321" s="15"/>
    </row>
    <row r="322">
      <c r="A322" s="15"/>
    </row>
    <row r="323">
      <c r="A323" s="15"/>
    </row>
    <row r="324">
      <c r="A324" s="15"/>
    </row>
    <row r="325">
      <c r="A325" s="15"/>
    </row>
    <row r="326">
      <c r="A326" s="15"/>
    </row>
    <row r="327">
      <c r="A327" s="15"/>
    </row>
    <row r="328">
      <c r="A328" s="15"/>
    </row>
    <row r="329">
      <c r="A329" s="15"/>
    </row>
    <row r="330">
      <c r="A330" s="15"/>
    </row>
    <row r="331">
      <c r="A331" s="15"/>
    </row>
    <row r="332">
      <c r="A332" s="15"/>
    </row>
    <row r="333">
      <c r="A333" s="15"/>
    </row>
    <row r="334">
      <c r="A334" s="15"/>
    </row>
    <row r="335">
      <c r="A335" s="15"/>
    </row>
    <row r="336">
      <c r="A336" s="15"/>
    </row>
    <row r="337">
      <c r="A337" s="15"/>
    </row>
    <row r="338">
      <c r="A338" s="15"/>
    </row>
    <row r="339">
      <c r="A339" s="15"/>
    </row>
    <row r="340">
      <c r="A340" s="15"/>
    </row>
    <row r="341">
      <c r="A341" s="15"/>
    </row>
    <row r="342">
      <c r="A342" s="15"/>
    </row>
    <row r="343">
      <c r="A343" s="15"/>
    </row>
    <row r="344">
      <c r="A344" s="15"/>
    </row>
    <row r="345">
      <c r="A345" s="15"/>
    </row>
    <row r="346">
      <c r="A346" s="15"/>
    </row>
    <row r="347">
      <c r="A347" s="15"/>
    </row>
    <row r="348">
      <c r="A348" s="15"/>
    </row>
    <row r="349">
      <c r="A349" s="15"/>
    </row>
    <row r="350">
      <c r="A350" s="15"/>
    </row>
    <row r="351">
      <c r="A351" s="15"/>
    </row>
    <row r="352">
      <c r="A352" s="15"/>
    </row>
    <row r="353">
      <c r="A353" s="15"/>
    </row>
    <row r="354">
      <c r="A354" s="15"/>
    </row>
    <row r="355">
      <c r="A355" s="15"/>
    </row>
    <row r="356">
      <c r="A356" s="15"/>
    </row>
    <row r="357">
      <c r="A357" s="15"/>
    </row>
    <row r="358">
      <c r="A358" s="15"/>
    </row>
    <row r="359">
      <c r="A359" s="15"/>
    </row>
    <row r="360">
      <c r="A360" s="15"/>
    </row>
    <row r="361">
      <c r="A361" s="15"/>
    </row>
    <row r="362">
      <c r="A362" s="15"/>
    </row>
    <row r="363">
      <c r="A363" s="15"/>
    </row>
    <row r="364">
      <c r="A364" s="15"/>
    </row>
    <row r="365">
      <c r="A365" s="15"/>
    </row>
    <row r="366">
      <c r="A366" s="15"/>
    </row>
    <row r="367">
      <c r="A367" s="15"/>
    </row>
    <row r="368">
      <c r="A368" s="15"/>
    </row>
    <row r="369">
      <c r="A369" s="15"/>
    </row>
    <row r="370">
      <c r="A370" s="15"/>
    </row>
    <row r="371">
      <c r="A371" s="15"/>
    </row>
    <row r="372">
      <c r="A372" s="15"/>
    </row>
    <row r="373">
      <c r="A373" s="15"/>
    </row>
    <row r="374">
      <c r="A374" s="15"/>
    </row>
    <row r="375">
      <c r="A375" s="15"/>
    </row>
    <row r="376">
      <c r="A376" s="15"/>
    </row>
    <row r="377">
      <c r="A377" s="15"/>
    </row>
    <row r="378">
      <c r="A378" s="15"/>
    </row>
    <row r="379">
      <c r="A379" s="15"/>
    </row>
    <row r="380">
      <c r="A380" s="15"/>
    </row>
    <row r="381">
      <c r="A381" s="15"/>
    </row>
    <row r="382">
      <c r="A382" s="15"/>
    </row>
    <row r="383">
      <c r="A383" s="15"/>
    </row>
    <row r="384">
      <c r="A384" s="15"/>
    </row>
    <row r="385">
      <c r="A385" s="15"/>
    </row>
    <row r="386">
      <c r="A386" s="15"/>
    </row>
    <row r="387">
      <c r="A387" s="15"/>
    </row>
    <row r="388">
      <c r="A388" s="15"/>
    </row>
    <row r="389">
      <c r="A389" s="15"/>
    </row>
    <row r="390">
      <c r="A390" s="15"/>
    </row>
    <row r="391">
      <c r="A391" s="15"/>
    </row>
    <row r="392">
      <c r="A392" s="15"/>
    </row>
    <row r="393">
      <c r="A393" s="15"/>
    </row>
    <row r="394">
      <c r="A394" s="15"/>
    </row>
    <row r="395">
      <c r="A395" s="15"/>
    </row>
    <row r="396">
      <c r="A396" s="15"/>
    </row>
    <row r="397">
      <c r="A397" s="15"/>
    </row>
    <row r="398">
      <c r="A398" s="15"/>
    </row>
    <row r="399">
      <c r="A399" s="15"/>
    </row>
    <row r="400">
      <c r="A400" s="15"/>
    </row>
    <row r="401">
      <c r="A401" s="15"/>
    </row>
    <row r="402">
      <c r="A402" s="15"/>
    </row>
    <row r="403">
      <c r="A403" s="15"/>
    </row>
    <row r="404">
      <c r="A404" s="15"/>
    </row>
    <row r="405">
      <c r="A405" s="15"/>
    </row>
    <row r="406">
      <c r="A406" s="15"/>
    </row>
    <row r="407">
      <c r="A407" s="15"/>
    </row>
    <row r="408">
      <c r="A408" s="15"/>
    </row>
    <row r="409">
      <c r="A409" s="15"/>
    </row>
    <row r="410">
      <c r="A410" s="15"/>
    </row>
    <row r="411">
      <c r="A411" s="15"/>
    </row>
    <row r="412">
      <c r="A412" s="15"/>
    </row>
    <row r="413">
      <c r="A413" s="15"/>
    </row>
    <row r="414">
      <c r="A414" s="15"/>
    </row>
    <row r="415">
      <c r="A415" s="15"/>
    </row>
    <row r="416">
      <c r="A416" s="15"/>
    </row>
    <row r="417">
      <c r="A417" s="15"/>
    </row>
    <row r="418">
      <c r="A418" s="15"/>
    </row>
    <row r="419">
      <c r="A419" s="15"/>
    </row>
    <row r="420">
      <c r="A420" s="15"/>
    </row>
    <row r="421">
      <c r="A421" s="15"/>
    </row>
    <row r="422">
      <c r="A422" s="15"/>
    </row>
    <row r="423">
      <c r="A423" s="15"/>
    </row>
    <row r="424">
      <c r="A424" s="15"/>
    </row>
    <row r="425">
      <c r="A425" s="15"/>
    </row>
    <row r="426">
      <c r="A426" s="15"/>
    </row>
    <row r="427">
      <c r="A427" s="15"/>
    </row>
    <row r="428">
      <c r="A428" s="15"/>
    </row>
    <row r="429">
      <c r="A429" s="15"/>
    </row>
    <row r="430">
      <c r="A430" s="15"/>
    </row>
    <row r="431">
      <c r="A431" s="15"/>
    </row>
    <row r="432">
      <c r="A432" s="15"/>
    </row>
    <row r="433">
      <c r="A433" s="15"/>
    </row>
    <row r="434">
      <c r="A434" s="15"/>
    </row>
    <row r="435">
      <c r="A435" s="15"/>
    </row>
    <row r="436">
      <c r="A436" s="15"/>
    </row>
    <row r="437">
      <c r="A437" s="15"/>
    </row>
    <row r="438">
      <c r="A438" s="15"/>
    </row>
    <row r="439">
      <c r="A439" s="15"/>
    </row>
    <row r="440">
      <c r="A440" s="15"/>
    </row>
    <row r="441">
      <c r="A441" s="15"/>
    </row>
    <row r="442">
      <c r="A442" s="15"/>
    </row>
    <row r="443">
      <c r="A443" s="15"/>
    </row>
    <row r="444">
      <c r="A444" s="15"/>
    </row>
    <row r="445">
      <c r="A445" s="15"/>
    </row>
    <row r="446">
      <c r="A446" s="15"/>
    </row>
    <row r="447">
      <c r="A447" s="15"/>
    </row>
    <row r="448">
      <c r="A448" s="15"/>
    </row>
    <row r="449">
      <c r="A449" s="15"/>
    </row>
    <row r="450">
      <c r="A450" s="15"/>
    </row>
    <row r="451">
      <c r="A451" s="15"/>
    </row>
    <row r="452">
      <c r="A452" s="15"/>
    </row>
    <row r="453">
      <c r="A453" s="15"/>
    </row>
    <row r="454">
      <c r="A454" s="15"/>
    </row>
    <row r="455">
      <c r="A455" s="15"/>
    </row>
    <row r="456">
      <c r="A456" s="15"/>
    </row>
    <row r="457">
      <c r="A457" s="15"/>
    </row>
    <row r="458">
      <c r="A458" s="15"/>
    </row>
    <row r="459">
      <c r="A459" s="15"/>
    </row>
    <row r="460">
      <c r="A460" s="15"/>
    </row>
    <row r="461">
      <c r="A461" s="15"/>
    </row>
    <row r="462">
      <c r="A462" s="15"/>
    </row>
    <row r="463">
      <c r="A463" s="15"/>
    </row>
    <row r="464">
      <c r="A464" s="15"/>
    </row>
    <row r="465">
      <c r="A465" s="15"/>
    </row>
    <row r="466">
      <c r="A466" s="15"/>
    </row>
    <row r="467">
      <c r="A467" s="15"/>
    </row>
    <row r="468">
      <c r="A468" s="15"/>
    </row>
    <row r="469">
      <c r="A469" s="15"/>
    </row>
    <row r="470">
      <c r="A470" s="15"/>
    </row>
    <row r="471">
      <c r="A471" s="15"/>
    </row>
    <row r="472">
      <c r="A472" s="15"/>
    </row>
    <row r="473">
      <c r="A473" s="15"/>
    </row>
    <row r="474">
      <c r="A474" s="15"/>
    </row>
    <row r="475">
      <c r="A475" s="15"/>
    </row>
    <row r="476">
      <c r="A476" s="15"/>
    </row>
    <row r="477">
      <c r="A477" s="15"/>
    </row>
    <row r="478">
      <c r="A478" s="15"/>
    </row>
    <row r="479">
      <c r="A479" s="15"/>
    </row>
    <row r="480">
      <c r="A480" s="15"/>
    </row>
    <row r="481">
      <c r="A481" s="15"/>
    </row>
    <row r="482">
      <c r="A482" s="15"/>
    </row>
    <row r="483">
      <c r="A483" s="15"/>
    </row>
    <row r="484">
      <c r="A484" s="15"/>
    </row>
    <row r="485">
      <c r="A485" s="15"/>
    </row>
    <row r="486">
      <c r="A486" s="15"/>
    </row>
    <row r="487">
      <c r="A487" s="15"/>
    </row>
    <row r="488">
      <c r="A488" s="15"/>
    </row>
    <row r="489">
      <c r="A489" s="15"/>
    </row>
    <row r="490">
      <c r="A490" s="15"/>
    </row>
    <row r="491">
      <c r="A491" s="15"/>
    </row>
    <row r="492">
      <c r="A492" s="15"/>
    </row>
    <row r="493">
      <c r="A493" s="15"/>
    </row>
    <row r="494">
      <c r="A494" s="15"/>
    </row>
    <row r="495">
      <c r="A495" s="15"/>
    </row>
    <row r="496">
      <c r="A496" s="15"/>
    </row>
    <row r="497">
      <c r="A497" s="15"/>
    </row>
    <row r="498">
      <c r="A498" s="15"/>
    </row>
    <row r="499">
      <c r="A499" s="15"/>
    </row>
    <row r="500">
      <c r="A500" s="15"/>
    </row>
    <row r="501">
      <c r="A501" s="15"/>
    </row>
    <row r="502">
      <c r="A502" s="15"/>
    </row>
    <row r="503">
      <c r="A503" s="15"/>
    </row>
    <row r="504">
      <c r="A504" s="15"/>
    </row>
    <row r="505">
      <c r="A505" s="15"/>
    </row>
    <row r="506">
      <c r="A506" s="15"/>
    </row>
    <row r="507">
      <c r="A507" s="15"/>
    </row>
    <row r="508">
      <c r="A508" s="15"/>
    </row>
    <row r="509">
      <c r="A509" s="15"/>
    </row>
    <row r="510">
      <c r="A510" s="15"/>
    </row>
    <row r="511">
      <c r="A511" s="15"/>
    </row>
    <row r="512">
      <c r="A512" s="15"/>
    </row>
    <row r="513">
      <c r="A513" s="15"/>
    </row>
    <row r="514">
      <c r="A514" s="15"/>
    </row>
    <row r="515">
      <c r="A515" s="15"/>
    </row>
    <row r="516">
      <c r="A516" s="15"/>
    </row>
    <row r="517">
      <c r="A517" s="15"/>
    </row>
    <row r="518">
      <c r="A518" s="15"/>
    </row>
    <row r="519">
      <c r="A519" s="15"/>
    </row>
    <row r="520">
      <c r="A520" s="15"/>
    </row>
    <row r="521">
      <c r="A521" s="15"/>
    </row>
    <row r="522">
      <c r="A522" s="15"/>
    </row>
    <row r="523">
      <c r="A523" s="15"/>
    </row>
    <row r="524">
      <c r="A524" s="15"/>
    </row>
    <row r="525">
      <c r="A525" s="15"/>
    </row>
    <row r="526">
      <c r="A526" s="15"/>
    </row>
    <row r="527">
      <c r="A527" s="15"/>
    </row>
    <row r="528">
      <c r="A528" s="15"/>
    </row>
    <row r="529">
      <c r="A529" s="15"/>
    </row>
    <row r="530">
      <c r="A530" s="15"/>
    </row>
    <row r="531">
      <c r="A531" s="15"/>
    </row>
    <row r="532">
      <c r="A532" s="15"/>
    </row>
    <row r="533">
      <c r="A533" s="15"/>
    </row>
    <row r="534">
      <c r="A534" s="15"/>
    </row>
    <row r="535">
      <c r="A535" s="15"/>
    </row>
    <row r="536">
      <c r="A536" s="15"/>
    </row>
    <row r="537">
      <c r="A537" s="15"/>
    </row>
    <row r="538">
      <c r="A538" s="15"/>
    </row>
    <row r="539">
      <c r="A539" s="15"/>
    </row>
    <row r="540">
      <c r="A540" s="15"/>
    </row>
    <row r="541">
      <c r="A541" s="15"/>
    </row>
    <row r="542">
      <c r="A542" s="15"/>
    </row>
    <row r="543">
      <c r="A543" s="15"/>
    </row>
    <row r="544">
      <c r="A544" s="15"/>
    </row>
    <row r="545">
      <c r="A545" s="15"/>
    </row>
    <row r="546">
      <c r="A546" s="15"/>
    </row>
    <row r="547">
      <c r="A547" s="15"/>
    </row>
    <row r="548">
      <c r="A548" s="15"/>
    </row>
    <row r="549">
      <c r="A549" s="15"/>
    </row>
    <row r="550">
      <c r="A550" s="15"/>
    </row>
    <row r="551">
      <c r="A551" s="15"/>
    </row>
    <row r="552">
      <c r="A552" s="15"/>
    </row>
    <row r="553">
      <c r="A553" s="15"/>
    </row>
    <row r="554">
      <c r="A554" s="15"/>
    </row>
    <row r="555">
      <c r="A555" s="15"/>
    </row>
    <row r="556">
      <c r="A556" s="15"/>
    </row>
    <row r="557">
      <c r="A557" s="15"/>
    </row>
    <row r="558">
      <c r="A558" s="15"/>
    </row>
    <row r="559">
      <c r="A559" s="15"/>
    </row>
    <row r="560">
      <c r="A560" s="15"/>
    </row>
    <row r="561">
      <c r="A561" s="15"/>
    </row>
    <row r="562">
      <c r="A562" s="15"/>
    </row>
    <row r="563">
      <c r="A563" s="15"/>
    </row>
    <row r="564">
      <c r="A564" s="15"/>
    </row>
    <row r="565">
      <c r="A565" s="15"/>
    </row>
    <row r="566">
      <c r="A566" s="15"/>
    </row>
    <row r="567">
      <c r="A567" s="15"/>
    </row>
    <row r="568">
      <c r="A568" s="15"/>
    </row>
    <row r="569">
      <c r="A569" s="15"/>
    </row>
    <row r="570">
      <c r="A570" s="15"/>
    </row>
    <row r="571">
      <c r="A571" s="15"/>
    </row>
    <row r="572">
      <c r="A572" s="15"/>
    </row>
    <row r="573">
      <c r="A573" s="15"/>
    </row>
    <row r="574">
      <c r="A574" s="15"/>
    </row>
    <row r="575">
      <c r="A575" s="15"/>
    </row>
    <row r="576">
      <c r="A576" s="15"/>
    </row>
    <row r="577">
      <c r="A577" s="15"/>
    </row>
    <row r="578">
      <c r="A578" s="15"/>
    </row>
    <row r="579">
      <c r="A579" s="15"/>
    </row>
    <row r="580">
      <c r="A580" s="15"/>
    </row>
    <row r="581">
      <c r="A581" s="15"/>
    </row>
    <row r="582">
      <c r="A582" s="15"/>
    </row>
    <row r="583">
      <c r="A583" s="15"/>
    </row>
    <row r="584">
      <c r="A584" s="15"/>
    </row>
    <row r="585">
      <c r="A585" s="15"/>
    </row>
    <row r="586">
      <c r="A586" s="15"/>
    </row>
    <row r="587">
      <c r="A587" s="15"/>
    </row>
    <row r="588">
      <c r="A588" s="15"/>
    </row>
    <row r="589">
      <c r="A589" s="15"/>
    </row>
    <row r="590">
      <c r="A590" s="15"/>
    </row>
    <row r="591">
      <c r="A591" s="15"/>
    </row>
    <row r="592">
      <c r="A592" s="15"/>
    </row>
    <row r="593">
      <c r="A593" s="15"/>
    </row>
    <row r="594">
      <c r="A594" s="15"/>
    </row>
    <row r="595">
      <c r="A595" s="15"/>
    </row>
    <row r="596">
      <c r="A596" s="15"/>
    </row>
    <row r="597">
      <c r="A597" s="15"/>
    </row>
    <row r="598">
      <c r="A598" s="15"/>
    </row>
    <row r="599">
      <c r="A599" s="15"/>
    </row>
    <row r="600">
      <c r="A600" s="15"/>
    </row>
    <row r="601">
      <c r="A601" s="15"/>
    </row>
    <row r="602">
      <c r="A602" s="15"/>
    </row>
    <row r="603">
      <c r="A603" s="15"/>
    </row>
    <row r="604">
      <c r="A604" s="15"/>
    </row>
    <row r="605">
      <c r="A605" s="15"/>
    </row>
    <row r="606">
      <c r="A606" s="15"/>
    </row>
    <row r="607">
      <c r="A607" s="15"/>
    </row>
    <row r="608">
      <c r="A608" s="15"/>
    </row>
    <row r="609">
      <c r="A609" s="15"/>
    </row>
    <row r="610">
      <c r="A610" s="15"/>
    </row>
    <row r="611">
      <c r="A611" s="15"/>
    </row>
    <row r="612">
      <c r="A612" s="15"/>
    </row>
    <row r="613">
      <c r="A613" s="15"/>
    </row>
    <row r="614">
      <c r="A614" s="15"/>
    </row>
    <row r="615">
      <c r="A615" s="15"/>
    </row>
    <row r="616">
      <c r="A616" s="15"/>
    </row>
    <row r="617">
      <c r="A617" s="15"/>
    </row>
    <row r="618">
      <c r="A618" s="15"/>
    </row>
    <row r="619">
      <c r="A619" s="15"/>
    </row>
    <row r="620">
      <c r="A620" s="15"/>
    </row>
    <row r="621">
      <c r="A621" s="15"/>
    </row>
    <row r="622">
      <c r="A622" s="15"/>
    </row>
    <row r="623">
      <c r="A623" s="15"/>
    </row>
    <row r="624">
      <c r="A624" s="15"/>
    </row>
    <row r="625">
      <c r="A625" s="15"/>
    </row>
    <row r="626">
      <c r="A626" s="15"/>
    </row>
    <row r="627">
      <c r="A627" s="15"/>
    </row>
    <row r="628">
      <c r="A628" s="15"/>
    </row>
    <row r="629">
      <c r="A629" s="15"/>
    </row>
    <row r="630">
      <c r="A630" s="15"/>
    </row>
    <row r="631">
      <c r="A631" s="15"/>
    </row>
    <row r="632">
      <c r="A632" s="15"/>
    </row>
    <row r="633">
      <c r="A633" s="15"/>
    </row>
    <row r="634">
      <c r="A634" s="15"/>
    </row>
    <row r="635">
      <c r="A635" s="15"/>
    </row>
    <row r="636">
      <c r="A636" s="15"/>
    </row>
    <row r="637">
      <c r="A637" s="15"/>
    </row>
    <row r="638">
      <c r="A638" s="15"/>
    </row>
    <row r="639">
      <c r="A639" s="15"/>
    </row>
    <row r="640">
      <c r="A640" s="15"/>
    </row>
    <row r="641">
      <c r="A641" s="15"/>
    </row>
    <row r="642">
      <c r="A642" s="15"/>
    </row>
    <row r="643">
      <c r="A643" s="15"/>
    </row>
    <row r="644">
      <c r="A644" s="15"/>
    </row>
    <row r="645">
      <c r="A645" s="15"/>
    </row>
    <row r="646">
      <c r="A646" s="15"/>
    </row>
    <row r="647">
      <c r="A647" s="15"/>
    </row>
    <row r="648">
      <c r="A648" s="15"/>
    </row>
    <row r="649">
      <c r="A649" s="15"/>
    </row>
    <row r="650">
      <c r="A650" s="15"/>
    </row>
    <row r="651">
      <c r="A651" s="15"/>
    </row>
    <row r="652">
      <c r="A652" s="15"/>
    </row>
    <row r="653">
      <c r="A653" s="15"/>
    </row>
    <row r="654">
      <c r="A654" s="15"/>
    </row>
    <row r="655">
      <c r="A655" s="15"/>
    </row>
    <row r="656">
      <c r="A656" s="15"/>
    </row>
    <row r="657">
      <c r="A657" s="15"/>
    </row>
    <row r="658">
      <c r="A658" s="15"/>
    </row>
    <row r="659">
      <c r="A659" s="15"/>
    </row>
    <row r="660">
      <c r="A660" s="15"/>
    </row>
    <row r="661">
      <c r="A661" s="15"/>
    </row>
    <row r="662">
      <c r="A662" s="15"/>
    </row>
    <row r="663">
      <c r="A663" s="15"/>
    </row>
    <row r="664">
      <c r="A664" s="15"/>
    </row>
    <row r="665">
      <c r="A665" s="15"/>
    </row>
    <row r="666">
      <c r="A666" s="15"/>
    </row>
    <row r="667">
      <c r="A667" s="15"/>
    </row>
    <row r="668">
      <c r="A668" s="15"/>
    </row>
    <row r="669">
      <c r="A669" s="15"/>
    </row>
    <row r="670">
      <c r="A670" s="15"/>
    </row>
    <row r="671">
      <c r="A671" s="15"/>
    </row>
    <row r="672">
      <c r="A672" s="15"/>
    </row>
    <row r="673">
      <c r="A673" s="15"/>
    </row>
    <row r="674">
      <c r="A674" s="15"/>
    </row>
    <row r="675">
      <c r="A675" s="15"/>
    </row>
    <row r="676">
      <c r="A676" s="15"/>
    </row>
    <row r="677">
      <c r="A677" s="15"/>
    </row>
    <row r="678">
      <c r="A678" s="15"/>
    </row>
    <row r="679">
      <c r="A679" s="15"/>
    </row>
    <row r="680">
      <c r="A680" s="15"/>
    </row>
    <row r="681">
      <c r="A681" s="15"/>
    </row>
    <row r="682">
      <c r="A682" s="15"/>
    </row>
    <row r="683">
      <c r="A683" s="15"/>
    </row>
    <row r="684">
      <c r="A684" s="15"/>
    </row>
    <row r="685">
      <c r="A685" s="15"/>
    </row>
    <row r="686">
      <c r="A686" s="15"/>
    </row>
    <row r="687">
      <c r="A687" s="15"/>
    </row>
    <row r="688">
      <c r="A688" s="15"/>
    </row>
    <row r="689">
      <c r="A689" s="15"/>
    </row>
    <row r="690">
      <c r="A690" s="15"/>
    </row>
    <row r="691">
      <c r="A691" s="15"/>
    </row>
    <row r="692">
      <c r="A692" s="15"/>
    </row>
    <row r="693">
      <c r="A693" s="15"/>
    </row>
    <row r="694">
      <c r="A694" s="15"/>
    </row>
    <row r="695">
      <c r="A695" s="15"/>
    </row>
    <row r="696">
      <c r="A696" s="15"/>
    </row>
    <row r="697">
      <c r="A697" s="15"/>
    </row>
    <row r="698">
      <c r="A698" s="15"/>
    </row>
    <row r="699">
      <c r="A699" s="15"/>
    </row>
    <row r="700">
      <c r="A700" s="15"/>
    </row>
    <row r="701">
      <c r="A701" s="15"/>
    </row>
    <row r="702">
      <c r="A702" s="15"/>
    </row>
    <row r="703">
      <c r="A703" s="15"/>
    </row>
    <row r="704">
      <c r="A704" s="15"/>
    </row>
    <row r="705">
      <c r="A705" s="15"/>
    </row>
    <row r="706">
      <c r="A706" s="15"/>
    </row>
    <row r="707">
      <c r="A707" s="15"/>
    </row>
    <row r="708">
      <c r="A708" s="15"/>
    </row>
    <row r="709">
      <c r="A709" s="15"/>
    </row>
    <row r="710">
      <c r="A710" s="15"/>
    </row>
    <row r="711">
      <c r="A711" s="15"/>
    </row>
    <row r="712">
      <c r="A712" s="15"/>
    </row>
    <row r="713">
      <c r="A713" s="15"/>
    </row>
    <row r="714">
      <c r="A714" s="15"/>
    </row>
    <row r="715">
      <c r="A715" s="15"/>
    </row>
    <row r="716">
      <c r="A716" s="15"/>
    </row>
    <row r="717">
      <c r="A717" s="15"/>
    </row>
    <row r="718">
      <c r="A718" s="15"/>
    </row>
    <row r="719">
      <c r="A719" s="15"/>
    </row>
    <row r="720">
      <c r="A720" s="15"/>
    </row>
    <row r="721">
      <c r="A721" s="15"/>
    </row>
    <row r="722">
      <c r="A722" s="15"/>
    </row>
    <row r="723">
      <c r="A723" s="15"/>
    </row>
    <row r="724">
      <c r="A724" s="15"/>
    </row>
    <row r="725">
      <c r="A725" s="15"/>
    </row>
    <row r="726">
      <c r="A726" s="15"/>
    </row>
    <row r="727">
      <c r="A727" s="15"/>
    </row>
    <row r="728">
      <c r="A728" s="15"/>
    </row>
    <row r="729">
      <c r="A729" s="15"/>
    </row>
    <row r="730">
      <c r="A730" s="15"/>
    </row>
    <row r="731">
      <c r="A731" s="15"/>
    </row>
    <row r="732">
      <c r="A732" s="15"/>
    </row>
    <row r="733">
      <c r="A733" s="15"/>
    </row>
    <row r="734">
      <c r="A734" s="15"/>
    </row>
    <row r="735">
      <c r="A735" s="15"/>
    </row>
    <row r="736">
      <c r="A736" s="15"/>
    </row>
    <row r="737">
      <c r="A737" s="15"/>
    </row>
    <row r="738">
      <c r="A738" s="15"/>
    </row>
    <row r="739">
      <c r="A739" s="15"/>
    </row>
    <row r="740">
      <c r="A740" s="15"/>
    </row>
    <row r="741">
      <c r="A741" s="15"/>
    </row>
    <row r="742">
      <c r="A742" s="15"/>
    </row>
    <row r="743">
      <c r="A743" s="15"/>
    </row>
    <row r="744">
      <c r="A744" s="15"/>
    </row>
    <row r="745">
      <c r="A745" s="15"/>
    </row>
    <row r="746">
      <c r="A746" s="15"/>
    </row>
    <row r="747">
      <c r="A747" s="15"/>
    </row>
    <row r="748">
      <c r="A748" s="15"/>
    </row>
    <row r="749">
      <c r="A749" s="15"/>
    </row>
    <row r="750">
      <c r="A750" s="15"/>
    </row>
    <row r="751">
      <c r="A751" s="15"/>
    </row>
    <row r="752">
      <c r="A752" s="15"/>
    </row>
    <row r="753">
      <c r="A753" s="15"/>
    </row>
    <row r="754">
      <c r="A754" s="15"/>
    </row>
    <row r="755">
      <c r="A755" s="15"/>
    </row>
    <row r="756">
      <c r="A756" s="15"/>
    </row>
    <row r="757">
      <c r="A757" s="15"/>
    </row>
    <row r="758">
      <c r="A758" s="15"/>
    </row>
    <row r="759">
      <c r="A759" s="15"/>
    </row>
    <row r="760">
      <c r="A760" s="15"/>
    </row>
    <row r="761">
      <c r="A761" s="15"/>
    </row>
    <row r="762">
      <c r="A762" s="15"/>
    </row>
    <row r="763">
      <c r="A763" s="15"/>
    </row>
    <row r="764">
      <c r="A764" s="15"/>
    </row>
    <row r="765">
      <c r="A765" s="15"/>
    </row>
    <row r="766">
      <c r="A766" s="15"/>
    </row>
    <row r="767">
      <c r="A767" s="15"/>
    </row>
    <row r="768">
      <c r="A768" s="15"/>
    </row>
    <row r="769">
      <c r="A769" s="15"/>
    </row>
    <row r="770">
      <c r="A770" s="15"/>
    </row>
    <row r="771">
      <c r="A771" s="15"/>
    </row>
    <row r="772">
      <c r="A772" s="15"/>
    </row>
    <row r="773">
      <c r="A773" s="15"/>
    </row>
    <row r="774">
      <c r="A774" s="15"/>
    </row>
    <row r="775">
      <c r="A775" s="15"/>
    </row>
    <row r="776">
      <c r="A776" s="15"/>
    </row>
    <row r="777">
      <c r="A777" s="15"/>
    </row>
    <row r="778">
      <c r="A778" s="15"/>
    </row>
    <row r="779">
      <c r="A779" s="15"/>
    </row>
    <row r="780">
      <c r="A780" s="15"/>
    </row>
    <row r="781">
      <c r="A781" s="15"/>
    </row>
    <row r="782">
      <c r="A782" s="15"/>
    </row>
    <row r="783">
      <c r="A783" s="15"/>
    </row>
    <row r="784">
      <c r="A784" s="15"/>
    </row>
    <row r="785">
      <c r="A785" s="15"/>
    </row>
    <row r="786">
      <c r="A786" s="15"/>
    </row>
    <row r="787">
      <c r="A787" s="15"/>
    </row>
    <row r="788">
      <c r="A788" s="15"/>
    </row>
    <row r="789">
      <c r="A789" s="15"/>
    </row>
    <row r="790">
      <c r="A790" s="15"/>
    </row>
    <row r="791">
      <c r="A791" s="15"/>
    </row>
    <row r="792">
      <c r="A792" s="15"/>
    </row>
    <row r="793">
      <c r="A793" s="15"/>
    </row>
    <row r="794">
      <c r="A794" s="15"/>
    </row>
    <row r="795">
      <c r="A795" s="15"/>
    </row>
    <row r="796">
      <c r="A796" s="15"/>
    </row>
    <row r="797">
      <c r="A797" s="15"/>
    </row>
    <row r="798">
      <c r="A798" s="15"/>
    </row>
    <row r="799">
      <c r="A799" s="15"/>
    </row>
    <row r="800">
      <c r="A800" s="15"/>
    </row>
    <row r="801">
      <c r="A801" s="15"/>
    </row>
    <row r="802">
      <c r="A802" s="15"/>
    </row>
    <row r="803">
      <c r="A803" s="15"/>
    </row>
    <row r="804">
      <c r="A804" s="15"/>
    </row>
    <row r="805">
      <c r="A805" s="15"/>
    </row>
    <row r="806">
      <c r="A806" s="15"/>
    </row>
    <row r="807">
      <c r="A807" s="15"/>
    </row>
    <row r="808">
      <c r="A808" s="15"/>
    </row>
    <row r="809">
      <c r="A809" s="15"/>
    </row>
    <row r="810">
      <c r="A810" s="15"/>
    </row>
    <row r="811">
      <c r="A811" s="15"/>
    </row>
    <row r="812">
      <c r="A812" s="15"/>
    </row>
    <row r="813">
      <c r="A813" s="15"/>
    </row>
    <row r="814">
      <c r="A814" s="15"/>
    </row>
    <row r="815">
      <c r="A815" s="15"/>
    </row>
    <row r="816">
      <c r="A816" s="15"/>
    </row>
    <row r="817">
      <c r="A817" s="15"/>
    </row>
    <row r="818">
      <c r="A818" s="15"/>
    </row>
    <row r="819">
      <c r="A819" s="15"/>
    </row>
    <row r="820">
      <c r="A820" s="15"/>
    </row>
    <row r="821">
      <c r="A821" s="15"/>
    </row>
    <row r="822">
      <c r="A822" s="15"/>
    </row>
    <row r="823">
      <c r="A823" s="15"/>
    </row>
    <row r="824">
      <c r="A824" s="15"/>
    </row>
    <row r="825">
      <c r="A825" s="15"/>
    </row>
    <row r="826">
      <c r="A826" s="15"/>
    </row>
    <row r="827">
      <c r="A827" s="15"/>
    </row>
    <row r="828">
      <c r="A828" s="15"/>
    </row>
    <row r="829">
      <c r="A829" s="15"/>
    </row>
    <row r="830">
      <c r="A830" s="15"/>
    </row>
    <row r="831">
      <c r="A831" s="15"/>
    </row>
    <row r="832">
      <c r="A832" s="15"/>
    </row>
    <row r="833">
      <c r="A833" s="15"/>
    </row>
    <row r="834">
      <c r="A834" s="15"/>
    </row>
    <row r="835">
      <c r="A835" s="15"/>
    </row>
    <row r="836">
      <c r="A836" s="15"/>
    </row>
    <row r="837">
      <c r="A837" s="15"/>
    </row>
    <row r="838">
      <c r="A838" s="15"/>
    </row>
    <row r="839">
      <c r="A839" s="15"/>
    </row>
    <row r="840">
      <c r="A840" s="15"/>
    </row>
    <row r="841">
      <c r="A841" s="15"/>
    </row>
    <row r="842">
      <c r="A842" s="15"/>
    </row>
    <row r="843">
      <c r="A843" s="15"/>
    </row>
    <row r="844">
      <c r="A844" s="15"/>
    </row>
    <row r="845">
      <c r="A845" s="15"/>
    </row>
    <row r="846">
      <c r="A846" s="15"/>
    </row>
    <row r="847">
      <c r="A847" s="15"/>
    </row>
    <row r="848">
      <c r="A848" s="15"/>
    </row>
    <row r="849">
      <c r="A849" s="15"/>
    </row>
    <row r="850">
      <c r="A850" s="15"/>
    </row>
    <row r="851">
      <c r="A851" s="15"/>
    </row>
    <row r="852">
      <c r="A852" s="15"/>
    </row>
    <row r="853">
      <c r="A853" s="15"/>
    </row>
    <row r="854">
      <c r="A854" s="15"/>
    </row>
    <row r="855">
      <c r="A855" s="15"/>
    </row>
    <row r="856">
      <c r="A856" s="15"/>
    </row>
    <row r="857">
      <c r="A857" s="15"/>
    </row>
    <row r="858">
      <c r="A858" s="15"/>
    </row>
    <row r="859">
      <c r="A859" s="15"/>
    </row>
    <row r="860">
      <c r="A860" s="15"/>
    </row>
    <row r="861">
      <c r="A861" s="15"/>
    </row>
    <row r="862">
      <c r="A862" s="15"/>
    </row>
    <row r="863">
      <c r="A863" s="15"/>
    </row>
    <row r="864">
      <c r="A864" s="15"/>
    </row>
    <row r="865">
      <c r="A865" s="15"/>
    </row>
    <row r="866">
      <c r="A866" s="15"/>
    </row>
    <row r="867">
      <c r="A867" s="15"/>
    </row>
    <row r="868">
      <c r="A868" s="15"/>
    </row>
    <row r="869">
      <c r="A869" s="15"/>
    </row>
    <row r="870">
      <c r="A870" s="15"/>
    </row>
    <row r="871">
      <c r="A871" s="15"/>
    </row>
    <row r="872">
      <c r="A872" s="15"/>
    </row>
    <row r="873">
      <c r="A873" s="15"/>
    </row>
    <row r="874">
      <c r="A874" s="15"/>
    </row>
    <row r="875">
      <c r="A875" s="15"/>
    </row>
    <row r="876">
      <c r="A876" s="15"/>
    </row>
    <row r="877">
      <c r="A877" s="15"/>
    </row>
    <row r="878">
      <c r="A878" s="15"/>
    </row>
    <row r="879">
      <c r="A879" s="15"/>
    </row>
    <row r="880">
      <c r="A880" s="15"/>
    </row>
    <row r="881">
      <c r="A881" s="15"/>
    </row>
    <row r="882">
      <c r="A882" s="15"/>
    </row>
    <row r="883">
      <c r="A883" s="15"/>
    </row>
    <row r="884">
      <c r="A884" s="15"/>
    </row>
    <row r="885">
      <c r="A885" s="15"/>
    </row>
    <row r="886">
      <c r="A886" s="15"/>
    </row>
    <row r="887">
      <c r="A887" s="15"/>
    </row>
    <row r="888">
      <c r="A888" s="15"/>
    </row>
    <row r="889">
      <c r="A889" s="15"/>
    </row>
    <row r="890">
      <c r="A890" s="15"/>
    </row>
    <row r="891">
      <c r="A891" s="15"/>
    </row>
    <row r="892">
      <c r="A892" s="15"/>
    </row>
    <row r="893">
      <c r="A893" s="15"/>
    </row>
    <row r="894">
      <c r="A894" s="15"/>
    </row>
    <row r="895">
      <c r="A895" s="15"/>
    </row>
    <row r="896">
      <c r="A896" s="15"/>
    </row>
    <row r="897">
      <c r="A897" s="15"/>
    </row>
    <row r="898">
      <c r="A898" s="15"/>
    </row>
    <row r="899">
      <c r="A899" s="15"/>
    </row>
    <row r="900">
      <c r="A900" s="15"/>
    </row>
    <row r="901">
      <c r="A901" s="15"/>
    </row>
    <row r="902">
      <c r="A902" s="15"/>
    </row>
    <row r="903">
      <c r="A903" s="15"/>
    </row>
    <row r="904">
      <c r="A904" s="15"/>
    </row>
    <row r="905">
      <c r="A905" s="15"/>
    </row>
    <row r="906">
      <c r="A906" s="15"/>
    </row>
    <row r="907">
      <c r="A907" s="15"/>
    </row>
    <row r="908">
      <c r="A908" s="15"/>
    </row>
    <row r="909">
      <c r="A909" s="15"/>
    </row>
    <row r="910">
      <c r="A910" s="15"/>
    </row>
    <row r="911">
      <c r="A911" s="15"/>
    </row>
    <row r="912">
      <c r="A912" s="15"/>
    </row>
    <row r="913">
      <c r="A913" s="15"/>
    </row>
    <row r="914">
      <c r="A914" s="15"/>
    </row>
    <row r="915">
      <c r="A915" s="15"/>
    </row>
    <row r="916">
      <c r="A916" s="15"/>
    </row>
    <row r="917">
      <c r="A917" s="15"/>
    </row>
    <row r="918">
      <c r="A918" s="15"/>
    </row>
    <row r="919">
      <c r="A919" s="15"/>
    </row>
    <row r="920">
      <c r="A920" s="15"/>
    </row>
    <row r="921">
      <c r="A921" s="15"/>
    </row>
    <row r="922">
      <c r="A922" s="15"/>
    </row>
    <row r="923">
      <c r="A923" s="15"/>
    </row>
    <row r="924">
      <c r="A924" s="15"/>
    </row>
    <row r="925">
      <c r="A925" s="15"/>
    </row>
    <row r="926">
      <c r="A926" s="15"/>
    </row>
    <row r="927">
      <c r="A927" s="15"/>
    </row>
    <row r="928">
      <c r="A928" s="15"/>
    </row>
    <row r="929">
      <c r="A929" s="15"/>
    </row>
    <row r="930">
      <c r="A930" s="15"/>
    </row>
    <row r="931">
      <c r="A931" s="15"/>
    </row>
    <row r="932">
      <c r="A932" s="15"/>
    </row>
    <row r="933">
      <c r="A933" s="15"/>
    </row>
    <row r="934">
      <c r="A934" s="15"/>
    </row>
    <row r="935">
      <c r="A935" s="15"/>
    </row>
    <row r="936">
      <c r="A936" s="15"/>
    </row>
    <row r="937">
      <c r="A937" s="15"/>
    </row>
    <row r="938">
      <c r="A938" s="15"/>
    </row>
    <row r="939">
      <c r="A939" s="15"/>
    </row>
    <row r="940">
      <c r="A940" s="15"/>
    </row>
    <row r="941">
      <c r="A941" s="15"/>
    </row>
    <row r="942">
      <c r="A942" s="15"/>
    </row>
    <row r="943">
      <c r="A943" s="15"/>
    </row>
    <row r="944">
      <c r="A944" s="15"/>
    </row>
    <row r="945">
      <c r="A945" s="15"/>
    </row>
    <row r="946">
      <c r="A946" s="15"/>
    </row>
    <row r="947">
      <c r="A947" s="15"/>
    </row>
    <row r="948">
      <c r="A948" s="15"/>
    </row>
    <row r="949">
      <c r="A949" s="15"/>
    </row>
    <row r="950">
      <c r="A950" s="15"/>
    </row>
    <row r="951">
      <c r="A951" s="15"/>
    </row>
    <row r="952">
      <c r="A952" s="15"/>
    </row>
    <row r="953">
      <c r="A953" s="15"/>
    </row>
    <row r="954">
      <c r="A954" s="15"/>
    </row>
    <row r="955">
      <c r="A955" s="15"/>
    </row>
    <row r="956">
      <c r="A956" s="15"/>
    </row>
    <row r="957">
      <c r="A957" s="15"/>
    </row>
    <row r="958">
      <c r="A958" s="15"/>
    </row>
    <row r="959">
      <c r="A959" s="15"/>
    </row>
    <row r="960">
      <c r="A960" s="15"/>
    </row>
    <row r="961">
      <c r="A961" s="15"/>
    </row>
    <row r="962">
      <c r="A962" s="15"/>
    </row>
    <row r="963">
      <c r="A963" s="15"/>
    </row>
    <row r="964">
      <c r="A964" s="15"/>
    </row>
    <row r="965">
      <c r="A965" s="15"/>
    </row>
    <row r="966">
      <c r="A966" s="15"/>
    </row>
    <row r="967">
      <c r="A967" s="15"/>
    </row>
    <row r="968">
      <c r="A968" s="15"/>
    </row>
    <row r="969">
      <c r="A969" s="15"/>
    </row>
    <row r="970">
      <c r="A970" s="15"/>
    </row>
    <row r="971">
      <c r="A971" s="15"/>
    </row>
    <row r="972">
      <c r="A972" s="15"/>
    </row>
    <row r="973">
      <c r="A973" s="15"/>
    </row>
    <row r="974">
      <c r="A974" s="15"/>
    </row>
    <row r="975">
      <c r="A975" s="15"/>
    </row>
    <row r="976">
      <c r="A976" s="15"/>
    </row>
    <row r="977">
      <c r="A977" s="15"/>
    </row>
    <row r="978">
      <c r="A978" s="15"/>
    </row>
    <row r="979">
      <c r="A979" s="15"/>
    </row>
    <row r="980">
      <c r="A980" s="15"/>
    </row>
    <row r="981">
      <c r="A981" s="15"/>
    </row>
    <row r="982">
      <c r="A982" s="15"/>
    </row>
    <row r="983">
      <c r="A983" s="15"/>
    </row>
    <row r="984">
      <c r="A984" s="15"/>
    </row>
    <row r="985">
      <c r="A985" s="15"/>
    </row>
    <row r="986">
      <c r="A986" s="15"/>
    </row>
    <row r="987">
      <c r="A987" s="15"/>
    </row>
    <row r="988">
      <c r="A988" s="15"/>
    </row>
    <row r="989">
      <c r="A989" s="15"/>
    </row>
    <row r="990">
      <c r="A990" s="15"/>
    </row>
    <row r="991">
      <c r="A991" s="15"/>
    </row>
    <row r="992">
      <c r="A992" s="15"/>
    </row>
    <row r="993">
      <c r="A993" s="15"/>
    </row>
    <row r="994">
      <c r="A994" s="15"/>
    </row>
    <row r="995">
      <c r="A995" s="15"/>
    </row>
    <row r="996">
      <c r="A996" s="15"/>
    </row>
    <row r="997">
      <c r="A997" s="15"/>
    </row>
    <row r="998">
      <c r="A998" s="15"/>
    </row>
    <row r="999">
      <c r="A999" s="15"/>
    </row>
    <row r="1000">
      <c r="A1000" s="15"/>
    </row>
    <row r="1001">
      <c r="A1001" s="15"/>
    </row>
    <row r="1002">
      <c r="A1002" s="15"/>
    </row>
    <row r="1003">
      <c r="A1003" s="15"/>
    </row>
    <row r="1004">
      <c r="A1004" s="15"/>
    </row>
    <row r="1005">
      <c r="A1005" s="1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31.88"/>
    <col customWidth="1" min="3" max="17" width="8.38"/>
    <col customWidth="1" min="20" max="22" width="9.0"/>
  </cols>
  <sheetData>
    <row r="1">
      <c r="A1" s="10" t="s">
        <v>216</v>
      </c>
      <c r="B1" s="10" t="s">
        <v>217</v>
      </c>
      <c r="C1" s="14">
        <v>1.0</v>
      </c>
      <c r="D1" s="14">
        <v>2.0</v>
      </c>
      <c r="E1" s="14">
        <v>3.0</v>
      </c>
      <c r="F1" s="14">
        <v>4.0</v>
      </c>
      <c r="G1" s="14">
        <v>5.0</v>
      </c>
      <c r="H1" s="14">
        <v>6.0</v>
      </c>
      <c r="I1" s="14">
        <v>7.0</v>
      </c>
      <c r="J1" s="18" t="s">
        <v>217</v>
      </c>
      <c r="K1" s="14">
        <v>1.0</v>
      </c>
      <c r="L1" s="14">
        <v>2.0</v>
      </c>
      <c r="M1" s="14">
        <v>3.0</v>
      </c>
      <c r="N1" s="14">
        <v>4.0</v>
      </c>
      <c r="O1" s="14">
        <v>5.0</v>
      </c>
      <c r="P1" s="14">
        <v>6.0</v>
      </c>
      <c r="Q1" s="14">
        <v>7.0</v>
      </c>
      <c r="R1" s="19" t="s">
        <v>218</v>
      </c>
      <c r="S1" s="19" t="s">
        <v>219</v>
      </c>
      <c r="T1" s="19" t="s">
        <v>218</v>
      </c>
      <c r="U1" s="19" t="s">
        <v>220</v>
      </c>
      <c r="V1" s="19" t="s">
        <v>219</v>
      </c>
      <c r="W1" s="14"/>
      <c r="X1" s="14"/>
      <c r="Y1" s="14"/>
    </row>
    <row r="2">
      <c r="A2" s="10" t="s">
        <v>200</v>
      </c>
      <c r="B2" s="10" t="s">
        <v>221</v>
      </c>
      <c r="C2" s="13">
        <v>1.0</v>
      </c>
      <c r="E2" s="13">
        <v>1.0</v>
      </c>
      <c r="F2" s="13">
        <v>8.0</v>
      </c>
      <c r="G2" s="13">
        <v>6.0</v>
      </c>
      <c r="H2" s="13">
        <v>4.0</v>
      </c>
      <c r="I2" s="13">
        <v>1.0</v>
      </c>
      <c r="J2" s="10" t="s">
        <v>221</v>
      </c>
      <c r="K2" s="20">
        <f t="shared" ref="K2:Q2" si="1">C2/21</f>
        <v>0.04761904762</v>
      </c>
      <c r="L2" s="20">
        <f t="shared" si="1"/>
        <v>0</v>
      </c>
      <c r="M2" s="20">
        <f t="shared" si="1"/>
        <v>0.04761904762</v>
      </c>
      <c r="N2" s="20">
        <f t="shared" si="1"/>
        <v>0.380952381</v>
      </c>
      <c r="O2" s="20">
        <f t="shared" si="1"/>
        <v>0.2857142857</v>
      </c>
      <c r="P2" s="20">
        <f t="shared" si="1"/>
        <v>0.1904761905</v>
      </c>
      <c r="Q2" s="20">
        <f t="shared" si="1"/>
        <v>0.04761904762</v>
      </c>
      <c r="R2" s="20">
        <f t="shared" ref="R2:R20" si="3">SUM(K2:M2)</f>
        <v>0.09523809524</v>
      </c>
      <c r="S2" s="20">
        <f t="shared" ref="S2:S20" si="4">SUM(O2:Q2)</f>
        <v>0.5238095238</v>
      </c>
      <c r="T2" s="20">
        <f>AVERAGE(R2:R7)</f>
        <v>0.1349206349</v>
      </c>
      <c r="U2" s="20">
        <f>AVERAGE(N2:N7)</f>
        <v>0.3174603175</v>
      </c>
      <c r="V2" s="20">
        <f>AVERAGE(S2:S7)</f>
        <v>0.5476190476</v>
      </c>
    </row>
    <row r="3">
      <c r="A3" s="10" t="s">
        <v>200</v>
      </c>
      <c r="B3" s="10" t="s">
        <v>222</v>
      </c>
      <c r="D3" s="13">
        <v>2.0</v>
      </c>
      <c r="F3" s="13">
        <v>4.0</v>
      </c>
      <c r="G3" s="13">
        <v>9.0</v>
      </c>
      <c r="H3" s="13">
        <v>5.0</v>
      </c>
      <c r="I3" s="13">
        <v>1.0</v>
      </c>
      <c r="J3" s="10" t="s">
        <v>222</v>
      </c>
      <c r="K3" s="20">
        <f t="shared" ref="K3:Q3" si="2">C3/21</f>
        <v>0</v>
      </c>
      <c r="L3" s="20">
        <f t="shared" si="2"/>
        <v>0.09523809524</v>
      </c>
      <c r="M3" s="20">
        <f t="shared" si="2"/>
        <v>0</v>
      </c>
      <c r="N3" s="20">
        <f t="shared" si="2"/>
        <v>0.1904761905</v>
      </c>
      <c r="O3" s="20">
        <f t="shared" si="2"/>
        <v>0.4285714286</v>
      </c>
      <c r="P3" s="20">
        <f t="shared" si="2"/>
        <v>0.2380952381</v>
      </c>
      <c r="Q3" s="20">
        <f t="shared" si="2"/>
        <v>0.04761904762</v>
      </c>
      <c r="R3" s="20">
        <f t="shared" si="3"/>
        <v>0.09523809524</v>
      </c>
      <c r="S3" s="20">
        <f t="shared" si="4"/>
        <v>0.7142857143</v>
      </c>
    </row>
    <row r="4">
      <c r="A4" s="10" t="s">
        <v>200</v>
      </c>
      <c r="B4" s="10" t="s">
        <v>223</v>
      </c>
      <c r="D4" s="13">
        <v>2.0</v>
      </c>
      <c r="E4" s="13">
        <v>2.0</v>
      </c>
      <c r="F4" s="13">
        <v>7.0</v>
      </c>
      <c r="G4" s="13">
        <v>4.0</v>
      </c>
      <c r="H4" s="13">
        <v>6.0</v>
      </c>
      <c r="J4" s="10" t="s">
        <v>223</v>
      </c>
      <c r="K4" s="20">
        <f t="shared" ref="K4:Q4" si="5">C4/21</f>
        <v>0</v>
      </c>
      <c r="L4" s="20">
        <f t="shared" si="5"/>
        <v>0.09523809524</v>
      </c>
      <c r="M4" s="20">
        <f t="shared" si="5"/>
        <v>0.09523809524</v>
      </c>
      <c r="N4" s="20">
        <f t="shared" si="5"/>
        <v>0.3333333333</v>
      </c>
      <c r="O4" s="20">
        <f t="shared" si="5"/>
        <v>0.1904761905</v>
      </c>
      <c r="P4" s="20">
        <f t="shared" si="5"/>
        <v>0.2857142857</v>
      </c>
      <c r="Q4" s="20">
        <f t="shared" si="5"/>
        <v>0</v>
      </c>
      <c r="R4" s="20">
        <f t="shared" si="3"/>
        <v>0.1904761905</v>
      </c>
      <c r="S4" s="20">
        <f t="shared" si="4"/>
        <v>0.4761904762</v>
      </c>
    </row>
    <row r="5">
      <c r="A5" s="10" t="s">
        <v>200</v>
      </c>
      <c r="B5" s="10" t="s">
        <v>224</v>
      </c>
      <c r="D5" s="13">
        <v>1.0</v>
      </c>
      <c r="E5" s="13">
        <v>1.0</v>
      </c>
      <c r="F5" s="13">
        <v>8.0</v>
      </c>
      <c r="G5" s="13">
        <v>5.0</v>
      </c>
      <c r="H5" s="13">
        <v>5.0</v>
      </c>
      <c r="I5" s="13">
        <v>1.0</v>
      </c>
      <c r="J5" s="10" t="s">
        <v>224</v>
      </c>
      <c r="K5" s="20">
        <f t="shared" ref="K5:Q5" si="6">C5/21</f>
        <v>0</v>
      </c>
      <c r="L5" s="20">
        <f t="shared" si="6"/>
        <v>0.04761904762</v>
      </c>
      <c r="M5" s="20">
        <f t="shared" si="6"/>
        <v>0.04761904762</v>
      </c>
      <c r="N5" s="20">
        <f t="shared" si="6"/>
        <v>0.380952381</v>
      </c>
      <c r="O5" s="20">
        <f t="shared" si="6"/>
        <v>0.2380952381</v>
      </c>
      <c r="P5" s="20">
        <f t="shared" si="6"/>
        <v>0.2380952381</v>
      </c>
      <c r="Q5" s="20">
        <f t="shared" si="6"/>
        <v>0.04761904762</v>
      </c>
      <c r="R5" s="20">
        <f t="shared" si="3"/>
        <v>0.09523809524</v>
      </c>
      <c r="S5" s="20">
        <f t="shared" si="4"/>
        <v>0.5238095238</v>
      </c>
    </row>
    <row r="6">
      <c r="A6" s="10" t="s">
        <v>200</v>
      </c>
      <c r="B6" s="10" t="s">
        <v>225</v>
      </c>
      <c r="D6" s="13">
        <v>1.0</v>
      </c>
      <c r="E6" s="13">
        <v>4.0</v>
      </c>
      <c r="F6" s="13">
        <v>4.0</v>
      </c>
      <c r="G6" s="13">
        <v>8.0</v>
      </c>
      <c r="H6" s="13">
        <v>3.0</v>
      </c>
      <c r="I6" s="13">
        <v>1.0</v>
      </c>
      <c r="J6" s="10" t="s">
        <v>225</v>
      </c>
      <c r="K6" s="20">
        <f t="shared" ref="K6:Q6" si="7">C6/21</f>
        <v>0</v>
      </c>
      <c r="L6" s="20">
        <f t="shared" si="7"/>
        <v>0.04761904762</v>
      </c>
      <c r="M6" s="20">
        <f t="shared" si="7"/>
        <v>0.1904761905</v>
      </c>
      <c r="N6" s="20">
        <f t="shared" si="7"/>
        <v>0.1904761905</v>
      </c>
      <c r="O6" s="20">
        <f t="shared" si="7"/>
        <v>0.380952381</v>
      </c>
      <c r="P6" s="20">
        <f t="shared" si="7"/>
        <v>0.1428571429</v>
      </c>
      <c r="Q6" s="20">
        <f t="shared" si="7"/>
        <v>0.04761904762</v>
      </c>
      <c r="R6" s="20">
        <f t="shared" si="3"/>
        <v>0.2380952381</v>
      </c>
      <c r="S6" s="20">
        <f t="shared" si="4"/>
        <v>0.5714285714</v>
      </c>
    </row>
    <row r="7">
      <c r="A7" s="10" t="s">
        <v>200</v>
      </c>
      <c r="B7" s="10" t="s">
        <v>226</v>
      </c>
      <c r="D7" s="13">
        <v>1.0</v>
      </c>
      <c r="E7" s="13">
        <v>1.0</v>
      </c>
      <c r="F7" s="13">
        <v>9.0</v>
      </c>
      <c r="G7" s="13">
        <v>4.0</v>
      </c>
      <c r="H7" s="13">
        <v>5.0</v>
      </c>
      <c r="I7" s="13">
        <v>1.0</v>
      </c>
      <c r="J7" s="10" t="s">
        <v>226</v>
      </c>
      <c r="K7" s="20">
        <f t="shared" ref="K7:Q7" si="8">C7/21</f>
        <v>0</v>
      </c>
      <c r="L7" s="20">
        <f t="shared" si="8"/>
        <v>0.04761904762</v>
      </c>
      <c r="M7" s="20">
        <f t="shared" si="8"/>
        <v>0.04761904762</v>
      </c>
      <c r="N7" s="20">
        <f t="shared" si="8"/>
        <v>0.4285714286</v>
      </c>
      <c r="O7" s="20">
        <f t="shared" si="8"/>
        <v>0.1904761905</v>
      </c>
      <c r="P7" s="20">
        <f t="shared" si="8"/>
        <v>0.2380952381</v>
      </c>
      <c r="Q7" s="20">
        <f t="shared" si="8"/>
        <v>0.04761904762</v>
      </c>
      <c r="R7" s="20">
        <f t="shared" si="3"/>
        <v>0.09523809524</v>
      </c>
      <c r="S7" s="20">
        <f t="shared" si="4"/>
        <v>0.4761904762</v>
      </c>
    </row>
    <row r="8">
      <c r="A8" s="21" t="s">
        <v>215</v>
      </c>
      <c r="B8" s="21" t="s">
        <v>227</v>
      </c>
      <c r="C8" s="22"/>
      <c r="D8" s="22">
        <v>1.0</v>
      </c>
      <c r="E8" s="22"/>
      <c r="F8" s="22">
        <v>1.0</v>
      </c>
      <c r="G8" s="22">
        <v>8.0</v>
      </c>
      <c r="H8" s="22">
        <v>6.0</v>
      </c>
      <c r="I8" s="22">
        <v>5.0</v>
      </c>
      <c r="J8" s="21" t="s">
        <v>227</v>
      </c>
      <c r="K8" s="23">
        <f t="shared" ref="K8:Q8" si="9">C8/21</f>
        <v>0</v>
      </c>
      <c r="L8" s="23">
        <f t="shared" si="9"/>
        <v>0.04761904762</v>
      </c>
      <c r="M8" s="23">
        <f t="shared" si="9"/>
        <v>0</v>
      </c>
      <c r="N8" s="23">
        <f t="shared" si="9"/>
        <v>0.04761904762</v>
      </c>
      <c r="O8" s="23">
        <f t="shared" si="9"/>
        <v>0.380952381</v>
      </c>
      <c r="P8" s="23">
        <f t="shared" si="9"/>
        <v>0.2857142857</v>
      </c>
      <c r="Q8" s="23">
        <f t="shared" si="9"/>
        <v>0.2380952381</v>
      </c>
      <c r="R8" s="23">
        <f t="shared" si="3"/>
        <v>0.04761904762</v>
      </c>
      <c r="S8" s="23">
        <f t="shared" si="4"/>
        <v>0.9047619048</v>
      </c>
      <c r="T8" s="23">
        <f>AVERAGE(R8:R13)</f>
        <v>0.07936507937</v>
      </c>
      <c r="U8" s="23">
        <f>AVERAGE(N8:N13)</f>
        <v>0.1111111111</v>
      </c>
      <c r="V8" s="23">
        <f>AVERAGE(S8:S13)</f>
        <v>0.8095238095</v>
      </c>
      <c r="W8" s="22"/>
      <c r="X8" s="22"/>
      <c r="Y8" s="22"/>
      <c r="Z8" s="22"/>
      <c r="AA8" s="22"/>
      <c r="AB8" s="22"/>
      <c r="AC8" s="22"/>
      <c r="AD8" s="22"/>
      <c r="AE8" s="22"/>
      <c r="AF8" s="22"/>
      <c r="AG8" s="22"/>
      <c r="AH8" s="22"/>
      <c r="AI8" s="22"/>
      <c r="AJ8" s="22"/>
    </row>
    <row r="9">
      <c r="A9" s="21" t="s">
        <v>215</v>
      </c>
      <c r="B9" s="21" t="s">
        <v>228</v>
      </c>
      <c r="C9" s="22"/>
      <c r="D9" s="22">
        <v>1.0</v>
      </c>
      <c r="E9" s="22">
        <v>1.0</v>
      </c>
      <c r="F9" s="22">
        <v>4.0</v>
      </c>
      <c r="G9" s="22">
        <v>4.0</v>
      </c>
      <c r="H9" s="22">
        <v>9.0</v>
      </c>
      <c r="I9" s="22">
        <v>2.0</v>
      </c>
      <c r="J9" s="21" t="s">
        <v>228</v>
      </c>
      <c r="K9" s="23">
        <f t="shared" ref="K9:Q9" si="10">C9/21</f>
        <v>0</v>
      </c>
      <c r="L9" s="23">
        <f t="shared" si="10"/>
        <v>0.04761904762</v>
      </c>
      <c r="M9" s="23">
        <f t="shared" si="10"/>
        <v>0.04761904762</v>
      </c>
      <c r="N9" s="23">
        <f t="shared" si="10"/>
        <v>0.1904761905</v>
      </c>
      <c r="O9" s="23">
        <f t="shared" si="10"/>
        <v>0.1904761905</v>
      </c>
      <c r="P9" s="23">
        <f t="shared" si="10"/>
        <v>0.4285714286</v>
      </c>
      <c r="Q9" s="23">
        <f t="shared" si="10"/>
        <v>0.09523809524</v>
      </c>
      <c r="R9" s="23">
        <f t="shared" si="3"/>
        <v>0.09523809524</v>
      </c>
      <c r="S9" s="23">
        <f t="shared" si="4"/>
        <v>0.7142857143</v>
      </c>
      <c r="W9" s="22"/>
      <c r="X9" s="22"/>
      <c r="Y9" s="22"/>
      <c r="Z9" s="22"/>
      <c r="AA9" s="22"/>
      <c r="AB9" s="22"/>
      <c r="AC9" s="22"/>
      <c r="AD9" s="22"/>
      <c r="AE9" s="22"/>
      <c r="AF9" s="22"/>
      <c r="AG9" s="22"/>
      <c r="AH9" s="22"/>
      <c r="AI9" s="22"/>
      <c r="AJ9" s="22"/>
    </row>
    <row r="10">
      <c r="A10" s="21" t="s">
        <v>215</v>
      </c>
      <c r="B10" s="21" t="s">
        <v>229</v>
      </c>
      <c r="C10" s="22"/>
      <c r="D10" s="22">
        <v>1.0</v>
      </c>
      <c r="E10" s="22"/>
      <c r="F10" s="22">
        <v>4.0</v>
      </c>
      <c r="G10" s="22">
        <v>9.0</v>
      </c>
      <c r="H10" s="22">
        <v>6.0</v>
      </c>
      <c r="I10" s="22">
        <v>1.0</v>
      </c>
      <c r="J10" s="21" t="s">
        <v>229</v>
      </c>
      <c r="K10" s="23">
        <f t="shared" ref="K10:Q10" si="11">C10/21</f>
        <v>0</v>
      </c>
      <c r="L10" s="23">
        <f t="shared" si="11"/>
        <v>0.04761904762</v>
      </c>
      <c r="M10" s="23">
        <f t="shared" si="11"/>
        <v>0</v>
      </c>
      <c r="N10" s="23">
        <f t="shared" si="11"/>
        <v>0.1904761905</v>
      </c>
      <c r="O10" s="23">
        <f t="shared" si="11"/>
        <v>0.4285714286</v>
      </c>
      <c r="P10" s="23">
        <f t="shared" si="11"/>
        <v>0.2857142857</v>
      </c>
      <c r="Q10" s="23">
        <f t="shared" si="11"/>
        <v>0.04761904762</v>
      </c>
      <c r="R10" s="23">
        <f t="shared" si="3"/>
        <v>0.04761904762</v>
      </c>
      <c r="S10" s="23">
        <f t="shared" si="4"/>
        <v>0.7619047619</v>
      </c>
      <c r="W10" s="22"/>
      <c r="X10" s="22"/>
      <c r="Y10" s="22"/>
      <c r="Z10" s="22"/>
      <c r="AA10" s="22"/>
      <c r="AB10" s="22"/>
      <c r="AC10" s="22"/>
      <c r="AD10" s="22"/>
      <c r="AE10" s="22"/>
      <c r="AF10" s="22"/>
      <c r="AG10" s="22"/>
      <c r="AH10" s="22"/>
      <c r="AI10" s="22"/>
      <c r="AJ10" s="22"/>
    </row>
    <row r="11">
      <c r="A11" s="21" t="s">
        <v>215</v>
      </c>
      <c r="B11" s="21" t="s">
        <v>230</v>
      </c>
      <c r="C11" s="22">
        <v>1.0</v>
      </c>
      <c r="D11" s="22"/>
      <c r="E11" s="22">
        <v>1.0</v>
      </c>
      <c r="F11" s="22">
        <v>2.0</v>
      </c>
      <c r="G11" s="22">
        <v>9.0</v>
      </c>
      <c r="H11" s="22">
        <v>6.0</v>
      </c>
      <c r="I11" s="22">
        <v>2.0</v>
      </c>
      <c r="J11" s="21" t="s">
        <v>230</v>
      </c>
      <c r="K11" s="23">
        <f t="shared" ref="K11:Q11" si="12">C11/21</f>
        <v>0.04761904762</v>
      </c>
      <c r="L11" s="23">
        <f t="shared" si="12"/>
        <v>0</v>
      </c>
      <c r="M11" s="23">
        <f t="shared" si="12"/>
        <v>0.04761904762</v>
      </c>
      <c r="N11" s="23">
        <f t="shared" si="12"/>
        <v>0.09523809524</v>
      </c>
      <c r="O11" s="23">
        <f t="shared" si="12"/>
        <v>0.4285714286</v>
      </c>
      <c r="P11" s="23">
        <f t="shared" si="12"/>
        <v>0.2857142857</v>
      </c>
      <c r="Q11" s="23">
        <f t="shared" si="12"/>
        <v>0.09523809524</v>
      </c>
      <c r="R11" s="23">
        <f t="shared" si="3"/>
        <v>0.09523809524</v>
      </c>
      <c r="S11" s="23">
        <f t="shared" si="4"/>
        <v>0.8095238095</v>
      </c>
      <c r="W11" s="22"/>
      <c r="X11" s="22"/>
      <c r="Y11" s="22"/>
      <c r="Z11" s="22"/>
      <c r="AA11" s="22"/>
      <c r="AB11" s="22"/>
      <c r="AC11" s="22"/>
      <c r="AD11" s="22"/>
      <c r="AE11" s="22"/>
      <c r="AF11" s="22"/>
      <c r="AG11" s="22"/>
      <c r="AH11" s="22"/>
      <c r="AI11" s="22"/>
      <c r="AJ11" s="22"/>
    </row>
    <row r="12">
      <c r="A12" s="21" t="s">
        <v>215</v>
      </c>
      <c r="B12" s="21" t="s">
        <v>231</v>
      </c>
      <c r="C12" s="22">
        <v>1.0</v>
      </c>
      <c r="D12" s="22"/>
      <c r="E12" s="22">
        <v>1.0</v>
      </c>
      <c r="F12" s="22">
        <v>2.0</v>
      </c>
      <c r="G12" s="22">
        <v>9.0</v>
      </c>
      <c r="H12" s="22">
        <v>5.0</v>
      </c>
      <c r="I12" s="22">
        <v>3.0</v>
      </c>
      <c r="J12" s="21" t="s">
        <v>231</v>
      </c>
      <c r="K12" s="23">
        <f t="shared" ref="K12:Q12" si="13">C12/21</f>
        <v>0.04761904762</v>
      </c>
      <c r="L12" s="23">
        <f t="shared" si="13"/>
        <v>0</v>
      </c>
      <c r="M12" s="23">
        <f t="shared" si="13"/>
        <v>0.04761904762</v>
      </c>
      <c r="N12" s="23">
        <f t="shared" si="13"/>
        <v>0.09523809524</v>
      </c>
      <c r="O12" s="23">
        <f t="shared" si="13"/>
        <v>0.4285714286</v>
      </c>
      <c r="P12" s="23">
        <f t="shared" si="13"/>
        <v>0.2380952381</v>
      </c>
      <c r="Q12" s="23">
        <f t="shared" si="13"/>
        <v>0.1428571429</v>
      </c>
      <c r="R12" s="23">
        <f t="shared" si="3"/>
        <v>0.09523809524</v>
      </c>
      <c r="S12" s="23">
        <f t="shared" si="4"/>
        <v>0.8095238095</v>
      </c>
      <c r="W12" s="22"/>
      <c r="X12" s="22"/>
      <c r="Y12" s="22"/>
      <c r="Z12" s="22"/>
      <c r="AA12" s="22"/>
      <c r="AB12" s="22"/>
      <c r="AC12" s="22"/>
      <c r="AD12" s="22"/>
      <c r="AE12" s="22"/>
      <c r="AF12" s="22"/>
      <c r="AG12" s="22"/>
      <c r="AH12" s="22"/>
      <c r="AI12" s="22"/>
      <c r="AJ12" s="22"/>
    </row>
    <row r="13">
      <c r="A13" s="21" t="s">
        <v>215</v>
      </c>
      <c r="B13" s="21" t="s">
        <v>232</v>
      </c>
      <c r="C13" s="22">
        <v>1.0</v>
      </c>
      <c r="D13" s="22"/>
      <c r="E13" s="22">
        <v>1.0</v>
      </c>
      <c r="F13" s="22">
        <v>1.0</v>
      </c>
      <c r="G13" s="22">
        <v>8.0</v>
      </c>
      <c r="H13" s="22">
        <v>8.0</v>
      </c>
      <c r="I13" s="22">
        <v>2.0</v>
      </c>
      <c r="J13" s="21" t="s">
        <v>232</v>
      </c>
      <c r="K13" s="23">
        <f t="shared" ref="K13:Q13" si="14">C13/21</f>
        <v>0.04761904762</v>
      </c>
      <c r="L13" s="23">
        <f t="shared" si="14"/>
        <v>0</v>
      </c>
      <c r="M13" s="23">
        <f t="shared" si="14"/>
        <v>0.04761904762</v>
      </c>
      <c r="N13" s="23">
        <f t="shared" si="14"/>
        <v>0.04761904762</v>
      </c>
      <c r="O13" s="23">
        <f t="shared" si="14"/>
        <v>0.380952381</v>
      </c>
      <c r="P13" s="23">
        <f t="shared" si="14"/>
        <v>0.380952381</v>
      </c>
      <c r="Q13" s="23">
        <f t="shared" si="14"/>
        <v>0.09523809524</v>
      </c>
      <c r="R13" s="23">
        <f t="shared" si="3"/>
        <v>0.09523809524</v>
      </c>
      <c r="S13" s="23">
        <f t="shared" si="4"/>
        <v>0.8571428571</v>
      </c>
      <c r="W13" s="22"/>
      <c r="X13" s="22"/>
      <c r="Y13" s="22"/>
      <c r="Z13" s="22"/>
      <c r="AA13" s="22"/>
      <c r="AB13" s="22"/>
      <c r="AC13" s="22"/>
      <c r="AD13" s="22"/>
      <c r="AE13" s="22"/>
      <c r="AF13" s="22"/>
      <c r="AG13" s="22"/>
      <c r="AH13" s="22"/>
      <c r="AI13" s="22"/>
      <c r="AJ13" s="22"/>
    </row>
    <row r="14">
      <c r="A14" s="10" t="s">
        <v>202</v>
      </c>
      <c r="B14" s="10" t="s">
        <v>233</v>
      </c>
      <c r="C14" s="13">
        <v>4.0</v>
      </c>
      <c r="D14" s="13">
        <v>6.0</v>
      </c>
      <c r="E14" s="13">
        <v>4.0</v>
      </c>
      <c r="F14" s="13">
        <v>4.0</v>
      </c>
      <c r="G14" s="13">
        <v>3.0</v>
      </c>
      <c r="J14" s="10" t="s">
        <v>233</v>
      </c>
      <c r="K14" s="20">
        <f t="shared" ref="K14:Q14" si="15">C14/21</f>
        <v>0.1904761905</v>
      </c>
      <c r="L14" s="20">
        <f t="shared" si="15"/>
        <v>0.2857142857</v>
      </c>
      <c r="M14" s="20">
        <f t="shared" si="15"/>
        <v>0.1904761905</v>
      </c>
      <c r="N14" s="20">
        <f t="shared" si="15"/>
        <v>0.1904761905</v>
      </c>
      <c r="O14" s="20">
        <f t="shared" si="15"/>
        <v>0.1428571429</v>
      </c>
      <c r="P14" s="20">
        <f t="shared" si="15"/>
        <v>0</v>
      </c>
      <c r="Q14" s="20">
        <f t="shared" si="15"/>
        <v>0</v>
      </c>
      <c r="R14" s="20">
        <f t="shared" si="3"/>
        <v>0.6666666667</v>
      </c>
      <c r="S14" s="20">
        <f t="shared" si="4"/>
        <v>0.1428571429</v>
      </c>
      <c r="T14" s="20">
        <f>AVERAGE(R14:R16)</f>
        <v>0.2698412698</v>
      </c>
      <c r="U14" s="20">
        <f>AVERAGE(N14:N16)</f>
        <v>0.2698412698</v>
      </c>
      <c r="V14" s="20">
        <f>AVERAGE(S14:S16)</f>
        <v>0.4603174603</v>
      </c>
    </row>
    <row r="15">
      <c r="A15" s="10" t="s">
        <v>202</v>
      </c>
      <c r="B15" s="10" t="s">
        <v>234</v>
      </c>
      <c r="C15" s="13">
        <v>1.0</v>
      </c>
      <c r="F15" s="13">
        <v>7.0</v>
      </c>
      <c r="G15" s="13">
        <v>5.0</v>
      </c>
      <c r="H15" s="13">
        <v>6.0</v>
      </c>
      <c r="I15" s="13">
        <v>2.0</v>
      </c>
      <c r="J15" s="10" t="s">
        <v>234</v>
      </c>
      <c r="K15" s="20">
        <f t="shared" ref="K15:Q15" si="16">C15/21</f>
        <v>0.04761904762</v>
      </c>
      <c r="L15" s="20">
        <f t="shared" si="16"/>
        <v>0</v>
      </c>
      <c r="M15" s="20">
        <f t="shared" si="16"/>
        <v>0</v>
      </c>
      <c r="N15" s="20">
        <f t="shared" si="16"/>
        <v>0.3333333333</v>
      </c>
      <c r="O15" s="20">
        <f t="shared" si="16"/>
        <v>0.2380952381</v>
      </c>
      <c r="P15" s="20">
        <f t="shared" si="16"/>
        <v>0.2857142857</v>
      </c>
      <c r="Q15" s="20">
        <f t="shared" si="16"/>
        <v>0.09523809524</v>
      </c>
      <c r="R15" s="20">
        <f t="shared" si="3"/>
        <v>0.04761904762</v>
      </c>
      <c r="S15" s="20">
        <f t="shared" si="4"/>
        <v>0.619047619</v>
      </c>
    </row>
    <row r="16">
      <c r="A16" s="10" t="s">
        <v>202</v>
      </c>
      <c r="B16" s="10" t="s">
        <v>235</v>
      </c>
      <c r="C16" s="13">
        <v>1.0</v>
      </c>
      <c r="E16" s="13">
        <v>1.0</v>
      </c>
      <c r="F16" s="13">
        <v>6.0</v>
      </c>
      <c r="G16" s="13">
        <v>9.0</v>
      </c>
      <c r="H16" s="13">
        <v>2.0</v>
      </c>
      <c r="I16" s="13">
        <v>2.0</v>
      </c>
      <c r="J16" s="10" t="s">
        <v>235</v>
      </c>
      <c r="K16" s="20">
        <f t="shared" ref="K16:Q16" si="17">C16/21</f>
        <v>0.04761904762</v>
      </c>
      <c r="L16" s="20">
        <f t="shared" si="17"/>
        <v>0</v>
      </c>
      <c r="M16" s="20">
        <f t="shared" si="17"/>
        <v>0.04761904762</v>
      </c>
      <c r="N16" s="20">
        <f t="shared" si="17"/>
        <v>0.2857142857</v>
      </c>
      <c r="O16" s="20">
        <f t="shared" si="17"/>
        <v>0.4285714286</v>
      </c>
      <c r="P16" s="20">
        <f t="shared" si="17"/>
        <v>0.09523809524</v>
      </c>
      <c r="Q16" s="20">
        <f t="shared" si="17"/>
        <v>0.09523809524</v>
      </c>
      <c r="R16" s="20">
        <f t="shared" si="3"/>
        <v>0.09523809524</v>
      </c>
      <c r="S16" s="20">
        <f t="shared" si="4"/>
        <v>0.619047619</v>
      </c>
    </row>
    <row r="17">
      <c r="A17" s="21" t="s">
        <v>203</v>
      </c>
      <c r="B17" s="22" t="s">
        <v>27</v>
      </c>
      <c r="C17" s="22">
        <v>1.0</v>
      </c>
      <c r="D17" s="22">
        <v>1.0</v>
      </c>
      <c r="E17" s="22"/>
      <c r="F17" s="22">
        <v>7.0</v>
      </c>
      <c r="G17" s="22">
        <v>5.0</v>
      </c>
      <c r="H17" s="22">
        <v>4.0</v>
      </c>
      <c r="I17" s="22">
        <v>3.0</v>
      </c>
      <c r="J17" s="21" t="s">
        <v>236</v>
      </c>
      <c r="K17" s="23">
        <f t="shared" ref="K17:Q17" si="18">C17/21</f>
        <v>0.04761904762</v>
      </c>
      <c r="L17" s="23">
        <f t="shared" si="18"/>
        <v>0.04761904762</v>
      </c>
      <c r="M17" s="23">
        <f t="shared" si="18"/>
        <v>0</v>
      </c>
      <c r="N17" s="23">
        <f t="shared" si="18"/>
        <v>0.3333333333</v>
      </c>
      <c r="O17" s="23">
        <f t="shared" si="18"/>
        <v>0.2380952381</v>
      </c>
      <c r="P17" s="23">
        <f t="shared" si="18"/>
        <v>0.1904761905</v>
      </c>
      <c r="Q17" s="23">
        <f t="shared" si="18"/>
        <v>0.1428571429</v>
      </c>
      <c r="R17" s="23">
        <f t="shared" si="3"/>
        <v>0.09523809524</v>
      </c>
      <c r="S17" s="23">
        <f t="shared" si="4"/>
        <v>0.5714285714</v>
      </c>
      <c r="T17" s="23">
        <f>AVERAGE(R17:R20)</f>
        <v>0.130952381</v>
      </c>
      <c r="U17" s="23">
        <f>AVERAGE(N17:N20)</f>
        <v>0.130952381</v>
      </c>
      <c r="V17" s="23">
        <f>AVERAGE(S17:S20)</f>
        <v>0.7380952381</v>
      </c>
      <c r="W17" s="22"/>
      <c r="X17" s="22"/>
      <c r="Y17" s="22"/>
      <c r="Z17" s="22"/>
      <c r="AA17" s="22"/>
      <c r="AB17" s="22"/>
      <c r="AC17" s="22"/>
      <c r="AD17" s="22"/>
      <c r="AE17" s="22"/>
      <c r="AF17" s="22"/>
      <c r="AG17" s="22"/>
      <c r="AH17" s="22"/>
      <c r="AI17" s="22"/>
      <c r="AJ17" s="22"/>
    </row>
    <row r="18">
      <c r="A18" s="21" t="s">
        <v>203</v>
      </c>
      <c r="B18" s="22" t="s">
        <v>28</v>
      </c>
      <c r="C18" s="22">
        <v>1.0</v>
      </c>
      <c r="D18" s="22">
        <v>1.0</v>
      </c>
      <c r="E18" s="22">
        <v>1.0</v>
      </c>
      <c r="F18" s="22">
        <v>1.0</v>
      </c>
      <c r="G18" s="22">
        <v>2.0</v>
      </c>
      <c r="H18" s="22">
        <v>9.0</v>
      </c>
      <c r="I18" s="22">
        <v>6.0</v>
      </c>
      <c r="J18" s="21" t="s">
        <v>237</v>
      </c>
      <c r="K18" s="23">
        <f t="shared" ref="K18:Q18" si="19">C18/21</f>
        <v>0.04761904762</v>
      </c>
      <c r="L18" s="23">
        <f t="shared" si="19"/>
        <v>0.04761904762</v>
      </c>
      <c r="M18" s="23">
        <f t="shared" si="19"/>
        <v>0.04761904762</v>
      </c>
      <c r="N18" s="23">
        <f t="shared" si="19"/>
        <v>0.04761904762</v>
      </c>
      <c r="O18" s="23">
        <f t="shared" si="19"/>
        <v>0.09523809524</v>
      </c>
      <c r="P18" s="23">
        <f t="shared" si="19"/>
        <v>0.4285714286</v>
      </c>
      <c r="Q18" s="23">
        <f t="shared" si="19"/>
        <v>0.2857142857</v>
      </c>
      <c r="R18" s="23">
        <f t="shared" si="3"/>
        <v>0.1428571429</v>
      </c>
      <c r="S18" s="23">
        <f t="shared" si="4"/>
        <v>0.8095238095</v>
      </c>
      <c r="W18" s="22"/>
      <c r="X18" s="22"/>
      <c r="Y18" s="22"/>
      <c r="Z18" s="22"/>
      <c r="AA18" s="22"/>
      <c r="AB18" s="22"/>
      <c r="AC18" s="22"/>
      <c r="AD18" s="22"/>
      <c r="AE18" s="22"/>
      <c r="AF18" s="22"/>
      <c r="AG18" s="22"/>
      <c r="AH18" s="22"/>
      <c r="AI18" s="22"/>
      <c r="AJ18" s="22"/>
    </row>
    <row r="19">
      <c r="A19" s="21" t="s">
        <v>203</v>
      </c>
      <c r="B19" s="22" t="s">
        <v>29</v>
      </c>
      <c r="C19" s="22">
        <v>1.0</v>
      </c>
      <c r="D19" s="22"/>
      <c r="E19" s="22">
        <v>3.0</v>
      </c>
      <c r="F19" s="22">
        <v>2.0</v>
      </c>
      <c r="G19" s="22">
        <v>3.0</v>
      </c>
      <c r="H19" s="22">
        <v>9.0</v>
      </c>
      <c r="I19" s="22">
        <v>3.0</v>
      </c>
      <c r="J19" s="21" t="s">
        <v>238</v>
      </c>
      <c r="K19" s="23">
        <f t="shared" ref="K19:Q19" si="20">C19/21</f>
        <v>0.04761904762</v>
      </c>
      <c r="L19" s="23">
        <f t="shared" si="20"/>
        <v>0</v>
      </c>
      <c r="M19" s="23">
        <f t="shared" si="20"/>
        <v>0.1428571429</v>
      </c>
      <c r="N19" s="23">
        <f t="shared" si="20"/>
        <v>0.09523809524</v>
      </c>
      <c r="O19" s="23">
        <f t="shared" si="20"/>
        <v>0.1428571429</v>
      </c>
      <c r="P19" s="23">
        <f t="shared" si="20"/>
        <v>0.4285714286</v>
      </c>
      <c r="Q19" s="23">
        <f t="shared" si="20"/>
        <v>0.1428571429</v>
      </c>
      <c r="R19" s="23">
        <f t="shared" si="3"/>
        <v>0.1904761905</v>
      </c>
      <c r="S19" s="23">
        <f t="shared" si="4"/>
        <v>0.7142857143</v>
      </c>
      <c r="W19" s="22"/>
      <c r="X19" s="22"/>
      <c r="Y19" s="22"/>
      <c r="Z19" s="22"/>
      <c r="AA19" s="22"/>
      <c r="AB19" s="22"/>
      <c r="AC19" s="22"/>
      <c r="AD19" s="22"/>
      <c r="AE19" s="22"/>
      <c r="AF19" s="22"/>
      <c r="AG19" s="22"/>
      <c r="AH19" s="22"/>
      <c r="AI19" s="22"/>
      <c r="AJ19" s="22"/>
    </row>
    <row r="20">
      <c r="A20" s="21" t="s">
        <v>203</v>
      </c>
      <c r="B20" s="22" t="s">
        <v>26</v>
      </c>
      <c r="C20" s="22">
        <v>1.0</v>
      </c>
      <c r="D20" s="22"/>
      <c r="E20" s="22">
        <v>1.0</v>
      </c>
      <c r="F20" s="22">
        <v>1.0</v>
      </c>
      <c r="G20" s="22">
        <v>2.0</v>
      </c>
      <c r="H20" s="22">
        <v>9.0</v>
      </c>
      <c r="I20" s="22">
        <v>7.0</v>
      </c>
      <c r="J20" s="21" t="s">
        <v>239</v>
      </c>
      <c r="K20" s="23">
        <f t="shared" ref="K20:Q20" si="21">C20/21</f>
        <v>0.04761904762</v>
      </c>
      <c r="L20" s="23">
        <f t="shared" si="21"/>
        <v>0</v>
      </c>
      <c r="M20" s="23">
        <f t="shared" si="21"/>
        <v>0.04761904762</v>
      </c>
      <c r="N20" s="23">
        <f t="shared" si="21"/>
        <v>0.04761904762</v>
      </c>
      <c r="O20" s="23">
        <f t="shared" si="21"/>
        <v>0.09523809524</v>
      </c>
      <c r="P20" s="23">
        <f t="shared" si="21"/>
        <v>0.4285714286</v>
      </c>
      <c r="Q20" s="23">
        <f t="shared" si="21"/>
        <v>0.3333333333</v>
      </c>
      <c r="R20" s="23">
        <f t="shared" si="3"/>
        <v>0.09523809524</v>
      </c>
      <c r="S20" s="23">
        <f t="shared" si="4"/>
        <v>0.8571428571</v>
      </c>
    </row>
    <row r="21">
      <c r="J21" s="24"/>
    </row>
    <row r="22">
      <c r="J22" s="24"/>
    </row>
    <row r="23">
      <c r="J23" s="24"/>
    </row>
    <row r="24">
      <c r="J24" s="24"/>
    </row>
    <row r="25">
      <c r="J25" s="24"/>
    </row>
    <row r="26">
      <c r="J26" s="24"/>
    </row>
    <row r="27">
      <c r="J27" s="24"/>
    </row>
    <row r="28">
      <c r="J28" s="24"/>
    </row>
    <row r="29">
      <c r="J29" s="24"/>
    </row>
    <row r="30">
      <c r="J30" s="24"/>
    </row>
    <row r="31">
      <c r="J31" s="24"/>
    </row>
    <row r="32">
      <c r="J32" s="24"/>
    </row>
    <row r="33">
      <c r="J33" s="24"/>
    </row>
    <row r="34">
      <c r="J34" s="24"/>
    </row>
    <row r="35">
      <c r="J35" s="24"/>
    </row>
    <row r="36">
      <c r="J36" s="24"/>
    </row>
    <row r="37">
      <c r="J37" s="24"/>
    </row>
    <row r="38">
      <c r="J38" s="24"/>
    </row>
    <row r="39">
      <c r="J39" s="24"/>
    </row>
    <row r="40">
      <c r="J40" s="24"/>
    </row>
    <row r="41">
      <c r="J41" s="24"/>
    </row>
    <row r="42">
      <c r="J42" s="24"/>
    </row>
    <row r="43">
      <c r="J43" s="24"/>
    </row>
    <row r="44">
      <c r="J44" s="24"/>
    </row>
    <row r="45">
      <c r="J45" s="24"/>
    </row>
    <row r="46">
      <c r="J46" s="24"/>
    </row>
    <row r="47">
      <c r="J47" s="24"/>
    </row>
    <row r="48">
      <c r="J48" s="24"/>
    </row>
    <row r="49">
      <c r="J49" s="24"/>
    </row>
    <row r="50">
      <c r="J50" s="24"/>
    </row>
    <row r="51">
      <c r="J51" s="24"/>
    </row>
    <row r="52">
      <c r="J52" s="24"/>
    </row>
    <row r="53">
      <c r="J53" s="24"/>
    </row>
    <row r="54">
      <c r="J54" s="24"/>
    </row>
    <row r="55">
      <c r="J55" s="24"/>
    </row>
    <row r="56">
      <c r="J56" s="24"/>
    </row>
    <row r="57">
      <c r="J57" s="24"/>
    </row>
    <row r="58">
      <c r="J58" s="24"/>
    </row>
    <row r="59">
      <c r="J59" s="24"/>
    </row>
    <row r="60">
      <c r="J60" s="24"/>
    </row>
    <row r="61">
      <c r="J61" s="24"/>
    </row>
    <row r="62">
      <c r="J62" s="24"/>
    </row>
    <row r="63">
      <c r="J63" s="24"/>
    </row>
    <row r="64">
      <c r="J64" s="24"/>
    </row>
    <row r="65">
      <c r="J65" s="24"/>
    </row>
    <row r="66">
      <c r="J66" s="24"/>
    </row>
    <row r="67">
      <c r="J67" s="24"/>
    </row>
    <row r="68">
      <c r="J68" s="24"/>
    </row>
    <row r="69">
      <c r="J69" s="24"/>
    </row>
    <row r="70">
      <c r="J70" s="24"/>
    </row>
    <row r="71">
      <c r="J71" s="24"/>
    </row>
    <row r="72">
      <c r="J72" s="24"/>
    </row>
    <row r="73">
      <c r="J73" s="24"/>
    </row>
    <row r="74">
      <c r="J74" s="24"/>
    </row>
    <row r="75">
      <c r="J75" s="24"/>
    </row>
    <row r="76">
      <c r="J76" s="24"/>
    </row>
    <row r="77">
      <c r="J77" s="24"/>
    </row>
    <row r="78">
      <c r="J78" s="24"/>
    </row>
    <row r="79">
      <c r="J79" s="24"/>
    </row>
    <row r="80">
      <c r="J80" s="24"/>
    </row>
    <row r="81">
      <c r="J81" s="24"/>
    </row>
    <row r="82">
      <c r="J82" s="24"/>
    </row>
    <row r="83">
      <c r="J83" s="24"/>
    </row>
    <row r="84">
      <c r="J84" s="24"/>
    </row>
    <row r="85">
      <c r="J85" s="24"/>
    </row>
    <row r="86">
      <c r="J86" s="24"/>
    </row>
    <row r="87">
      <c r="J87" s="24"/>
    </row>
    <row r="88">
      <c r="J88" s="24"/>
    </row>
    <row r="89">
      <c r="J89" s="24"/>
    </row>
    <row r="90">
      <c r="J90" s="24"/>
    </row>
    <row r="91">
      <c r="J91" s="24"/>
    </row>
    <row r="92">
      <c r="J92" s="24"/>
    </row>
    <row r="93">
      <c r="J93" s="24"/>
    </row>
    <row r="94">
      <c r="J94" s="24"/>
    </row>
    <row r="95">
      <c r="J95" s="24"/>
    </row>
    <row r="96">
      <c r="J96" s="24"/>
    </row>
    <row r="97">
      <c r="J97" s="24"/>
    </row>
    <row r="98">
      <c r="J98" s="24"/>
    </row>
    <row r="99">
      <c r="J99" s="24"/>
    </row>
    <row r="100">
      <c r="J100" s="24"/>
    </row>
    <row r="101">
      <c r="J101" s="24"/>
    </row>
    <row r="102">
      <c r="J102" s="24"/>
    </row>
    <row r="103">
      <c r="J103" s="24"/>
    </row>
    <row r="104">
      <c r="J104" s="24"/>
    </row>
    <row r="105">
      <c r="J105" s="24"/>
    </row>
    <row r="106">
      <c r="J106" s="24"/>
    </row>
    <row r="107">
      <c r="J107" s="24"/>
    </row>
    <row r="108">
      <c r="J108" s="24"/>
    </row>
    <row r="109">
      <c r="J109" s="24"/>
    </row>
    <row r="110">
      <c r="J110" s="24"/>
    </row>
    <row r="111">
      <c r="J111" s="24"/>
    </row>
    <row r="112">
      <c r="J112" s="24"/>
    </row>
    <row r="113">
      <c r="J113" s="24"/>
    </row>
    <row r="114">
      <c r="J114" s="24"/>
    </row>
    <row r="115">
      <c r="J115" s="24"/>
    </row>
    <row r="116">
      <c r="J116" s="24"/>
    </row>
    <row r="117">
      <c r="J117" s="24"/>
    </row>
    <row r="118">
      <c r="J118" s="24"/>
    </row>
    <row r="119">
      <c r="J119" s="24"/>
    </row>
    <row r="120">
      <c r="J120" s="24"/>
    </row>
    <row r="121">
      <c r="J121" s="24"/>
    </row>
    <row r="122">
      <c r="J122" s="24"/>
    </row>
    <row r="123">
      <c r="J123" s="24"/>
    </row>
    <row r="124">
      <c r="J124" s="24"/>
    </row>
    <row r="125">
      <c r="J125" s="24"/>
    </row>
    <row r="126">
      <c r="J126" s="24"/>
    </row>
    <row r="127">
      <c r="J127" s="24"/>
    </row>
    <row r="128">
      <c r="J128" s="24"/>
    </row>
    <row r="129">
      <c r="J129" s="24"/>
    </row>
    <row r="130">
      <c r="J130" s="24"/>
    </row>
    <row r="131">
      <c r="J131" s="24"/>
    </row>
    <row r="132">
      <c r="J132" s="24"/>
    </row>
    <row r="133">
      <c r="J133" s="24"/>
    </row>
    <row r="134">
      <c r="J134" s="24"/>
    </row>
    <row r="135">
      <c r="J135" s="24"/>
    </row>
    <row r="136">
      <c r="J136" s="24"/>
    </row>
    <row r="137">
      <c r="J137" s="24"/>
    </row>
    <row r="138">
      <c r="J138" s="24"/>
    </row>
    <row r="139">
      <c r="J139" s="24"/>
    </row>
    <row r="140">
      <c r="J140" s="24"/>
    </row>
    <row r="141">
      <c r="J141" s="24"/>
    </row>
    <row r="142">
      <c r="J142" s="24"/>
    </row>
    <row r="143">
      <c r="J143" s="24"/>
    </row>
    <row r="144">
      <c r="J144" s="24"/>
    </row>
    <row r="145">
      <c r="J145" s="24"/>
    </row>
    <row r="146">
      <c r="J146" s="24"/>
    </row>
    <row r="147">
      <c r="J147" s="24"/>
    </row>
    <row r="148">
      <c r="J148" s="24"/>
    </row>
    <row r="149">
      <c r="J149" s="24"/>
    </row>
    <row r="150">
      <c r="J150" s="24"/>
    </row>
    <row r="151">
      <c r="J151" s="24"/>
    </row>
    <row r="152">
      <c r="J152" s="24"/>
    </row>
    <row r="153">
      <c r="J153" s="24"/>
    </row>
    <row r="154">
      <c r="J154" s="24"/>
    </row>
    <row r="155">
      <c r="J155" s="24"/>
    </row>
    <row r="156">
      <c r="J156" s="24"/>
    </row>
    <row r="157">
      <c r="J157" s="24"/>
    </row>
    <row r="158">
      <c r="J158" s="24"/>
    </row>
    <row r="159">
      <c r="J159" s="24"/>
    </row>
    <row r="160">
      <c r="J160" s="24"/>
    </row>
    <row r="161">
      <c r="J161" s="24"/>
    </row>
    <row r="162">
      <c r="J162" s="24"/>
    </row>
    <row r="163">
      <c r="J163" s="24"/>
    </row>
    <row r="164">
      <c r="J164" s="24"/>
    </row>
    <row r="165">
      <c r="J165" s="24"/>
    </row>
    <row r="166">
      <c r="J166" s="24"/>
    </row>
    <row r="167">
      <c r="J167" s="24"/>
    </row>
    <row r="168">
      <c r="J168" s="24"/>
    </row>
    <row r="169">
      <c r="J169" s="24"/>
    </row>
    <row r="170">
      <c r="J170" s="24"/>
    </row>
    <row r="171">
      <c r="J171" s="24"/>
    </row>
    <row r="172">
      <c r="J172" s="24"/>
    </row>
    <row r="173">
      <c r="J173" s="24"/>
    </row>
    <row r="174">
      <c r="J174" s="24"/>
    </row>
    <row r="175">
      <c r="J175" s="24"/>
    </row>
    <row r="176">
      <c r="J176" s="24"/>
    </row>
    <row r="177">
      <c r="J177" s="24"/>
    </row>
    <row r="178">
      <c r="J178" s="24"/>
    </row>
    <row r="179">
      <c r="J179" s="24"/>
    </row>
    <row r="180">
      <c r="J180" s="24"/>
    </row>
    <row r="181">
      <c r="J181" s="24"/>
    </row>
    <row r="182">
      <c r="J182" s="24"/>
    </row>
    <row r="183">
      <c r="J183" s="24"/>
    </row>
    <row r="184">
      <c r="J184" s="24"/>
    </row>
    <row r="185">
      <c r="J185" s="24"/>
    </row>
    <row r="186">
      <c r="J186" s="24"/>
    </row>
    <row r="187">
      <c r="J187" s="24"/>
    </row>
    <row r="188">
      <c r="J188" s="24"/>
    </row>
    <row r="189">
      <c r="J189" s="24"/>
    </row>
    <row r="190">
      <c r="J190" s="24"/>
    </row>
    <row r="191">
      <c r="J191" s="24"/>
    </row>
    <row r="192">
      <c r="J192" s="24"/>
    </row>
    <row r="193">
      <c r="J193" s="24"/>
    </row>
    <row r="194">
      <c r="J194" s="24"/>
    </row>
    <row r="195">
      <c r="J195" s="24"/>
    </row>
    <row r="196">
      <c r="J196" s="24"/>
    </row>
    <row r="197">
      <c r="J197" s="24"/>
    </row>
    <row r="198">
      <c r="J198" s="24"/>
    </row>
    <row r="199">
      <c r="J199" s="24"/>
    </row>
    <row r="200">
      <c r="J200" s="24"/>
    </row>
    <row r="201">
      <c r="J201" s="24"/>
    </row>
    <row r="202">
      <c r="J202" s="24"/>
    </row>
    <row r="203">
      <c r="J203" s="24"/>
    </row>
    <row r="204">
      <c r="J204" s="24"/>
    </row>
    <row r="205">
      <c r="J205" s="24"/>
    </row>
    <row r="206">
      <c r="J206" s="24"/>
    </row>
    <row r="207">
      <c r="J207" s="24"/>
    </row>
    <row r="208">
      <c r="J208" s="24"/>
    </row>
    <row r="209">
      <c r="J209" s="24"/>
    </row>
    <row r="210">
      <c r="J210" s="24"/>
    </row>
    <row r="211">
      <c r="J211" s="24"/>
    </row>
    <row r="212">
      <c r="J212" s="24"/>
    </row>
    <row r="213">
      <c r="J213" s="24"/>
    </row>
    <row r="214">
      <c r="J214" s="24"/>
    </row>
    <row r="215">
      <c r="J215" s="24"/>
    </row>
    <row r="216">
      <c r="J216" s="24"/>
    </row>
    <row r="217">
      <c r="J217" s="24"/>
    </row>
    <row r="218">
      <c r="J218" s="24"/>
    </row>
    <row r="219">
      <c r="J219" s="24"/>
    </row>
    <row r="220">
      <c r="J220" s="24"/>
    </row>
    <row r="221">
      <c r="J221" s="24"/>
    </row>
    <row r="222">
      <c r="J222" s="24"/>
    </row>
    <row r="223">
      <c r="J223" s="24"/>
    </row>
    <row r="224">
      <c r="J224" s="24"/>
    </row>
    <row r="225">
      <c r="J225" s="24"/>
    </row>
    <row r="226">
      <c r="J226" s="24"/>
    </row>
    <row r="227">
      <c r="J227" s="24"/>
    </row>
    <row r="228">
      <c r="J228" s="24"/>
    </row>
    <row r="229">
      <c r="J229" s="24"/>
    </row>
    <row r="230">
      <c r="J230" s="24"/>
    </row>
    <row r="231">
      <c r="J231" s="24"/>
    </row>
    <row r="232">
      <c r="J232" s="24"/>
    </row>
    <row r="233">
      <c r="J233" s="24"/>
    </row>
    <row r="234">
      <c r="J234" s="24"/>
    </row>
    <row r="235">
      <c r="J235" s="24"/>
    </row>
    <row r="236">
      <c r="J236" s="24"/>
    </row>
    <row r="237">
      <c r="J237" s="24"/>
    </row>
    <row r="238">
      <c r="J238" s="24"/>
    </row>
    <row r="239">
      <c r="J239" s="24"/>
    </row>
    <row r="240">
      <c r="J240" s="24"/>
    </row>
    <row r="241">
      <c r="J241" s="24"/>
    </row>
    <row r="242">
      <c r="J242" s="24"/>
    </row>
    <row r="243">
      <c r="J243" s="24"/>
    </row>
    <row r="244">
      <c r="J244" s="24"/>
    </row>
    <row r="245">
      <c r="J245" s="24"/>
    </row>
    <row r="246">
      <c r="J246" s="24"/>
    </row>
    <row r="247">
      <c r="J247" s="24"/>
    </row>
    <row r="248">
      <c r="J248" s="24"/>
    </row>
    <row r="249">
      <c r="J249" s="24"/>
    </row>
    <row r="250">
      <c r="J250" s="24"/>
    </row>
    <row r="251">
      <c r="J251" s="24"/>
    </row>
    <row r="252">
      <c r="J252" s="24"/>
    </row>
    <row r="253">
      <c r="J253" s="24"/>
    </row>
    <row r="254">
      <c r="J254" s="24"/>
    </row>
    <row r="255">
      <c r="J255" s="24"/>
    </row>
    <row r="256">
      <c r="J256" s="24"/>
    </row>
    <row r="257">
      <c r="J257" s="24"/>
    </row>
    <row r="258">
      <c r="J258" s="24"/>
    </row>
    <row r="259">
      <c r="J259" s="24"/>
    </row>
    <row r="260">
      <c r="J260" s="24"/>
    </row>
    <row r="261">
      <c r="J261" s="24"/>
    </row>
    <row r="262">
      <c r="J262" s="24"/>
    </row>
    <row r="263">
      <c r="J263" s="24"/>
    </row>
    <row r="264">
      <c r="J264" s="24"/>
    </row>
    <row r="265">
      <c r="J265" s="24"/>
    </row>
    <row r="266">
      <c r="J266" s="24"/>
    </row>
    <row r="267">
      <c r="J267" s="24"/>
    </row>
    <row r="268">
      <c r="J268" s="24"/>
    </row>
    <row r="269">
      <c r="J269" s="24"/>
    </row>
    <row r="270">
      <c r="J270" s="24"/>
    </row>
    <row r="271">
      <c r="J271" s="24"/>
    </row>
    <row r="272">
      <c r="J272" s="24"/>
    </row>
    <row r="273">
      <c r="J273" s="24"/>
    </row>
    <row r="274">
      <c r="J274" s="24"/>
    </row>
    <row r="275">
      <c r="J275" s="24"/>
    </row>
    <row r="276">
      <c r="J276" s="24"/>
    </row>
    <row r="277">
      <c r="J277" s="24"/>
    </row>
    <row r="278">
      <c r="J278" s="24"/>
    </row>
    <row r="279">
      <c r="J279" s="24"/>
    </row>
    <row r="280">
      <c r="J280" s="24"/>
    </row>
    <row r="281">
      <c r="J281" s="24"/>
    </row>
    <row r="282">
      <c r="J282" s="24"/>
    </row>
    <row r="283">
      <c r="J283" s="24"/>
    </row>
    <row r="284">
      <c r="J284" s="24"/>
    </row>
    <row r="285">
      <c r="J285" s="24"/>
    </row>
    <row r="286">
      <c r="J286" s="24"/>
    </row>
    <row r="287">
      <c r="J287" s="24"/>
    </row>
    <row r="288">
      <c r="J288" s="24"/>
    </row>
    <row r="289">
      <c r="J289" s="24"/>
    </row>
    <row r="290">
      <c r="J290" s="24"/>
    </row>
    <row r="291">
      <c r="J291" s="24"/>
    </row>
    <row r="292">
      <c r="J292" s="24"/>
    </row>
    <row r="293">
      <c r="J293" s="24"/>
    </row>
    <row r="294">
      <c r="J294" s="24"/>
    </row>
    <row r="295">
      <c r="J295" s="24"/>
    </row>
    <row r="296">
      <c r="J296" s="24"/>
    </row>
    <row r="297">
      <c r="J297" s="24"/>
    </row>
    <row r="298">
      <c r="J298" s="24"/>
    </row>
    <row r="299">
      <c r="J299" s="24"/>
    </row>
    <row r="300">
      <c r="J300" s="24"/>
    </row>
    <row r="301">
      <c r="J301" s="24"/>
    </row>
    <row r="302">
      <c r="J302" s="24"/>
    </row>
    <row r="303">
      <c r="J303" s="24"/>
    </row>
    <row r="304">
      <c r="J304" s="24"/>
    </row>
    <row r="305">
      <c r="J305" s="24"/>
    </row>
    <row r="306">
      <c r="J306" s="24"/>
    </row>
    <row r="307">
      <c r="J307" s="24"/>
    </row>
    <row r="308">
      <c r="J308" s="24"/>
    </row>
    <row r="309">
      <c r="J309" s="24"/>
    </row>
    <row r="310">
      <c r="J310" s="24"/>
    </row>
    <row r="311">
      <c r="J311" s="24"/>
    </row>
    <row r="312">
      <c r="J312" s="24"/>
    </row>
    <row r="313">
      <c r="J313" s="24"/>
    </row>
    <row r="314">
      <c r="J314" s="24"/>
    </row>
    <row r="315">
      <c r="J315" s="24"/>
    </row>
    <row r="316">
      <c r="J316" s="24"/>
    </row>
    <row r="317">
      <c r="J317" s="24"/>
    </row>
    <row r="318">
      <c r="J318" s="24"/>
    </row>
    <row r="319">
      <c r="J319" s="24"/>
    </row>
    <row r="320">
      <c r="J320" s="24"/>
    </row>
    <row r="321">
      <c r="J321" s="24"/>
    </row>
    <row r="322">
      <c r="J322" s="24"/>
    </row>
    <row r="323">
      <c r="J323" s="24"/>
    </row>
    <row r="324">
      <c r="J324" s="24"/>
    </row>
    <row r="325">
      <c r="J325" s="24"/>
    </row>
    <row r="326">
      <c r="J326" s="24"/>
    </row>
    <row r="327">
      <c r="J327" s="24"/>
    </row>
    <row r="328">
      <c r="J328" s="24"/>
    </row>
    <row r="329">
      <c r="J329" s="24"/>
    </row>
    <row r="330">
      <c r="J330" s="24"/>
    </row>
    <row r="331">
      <c r="J331" s="24"/>
    </row>
    <row r="332">
      <c r="J332" s="24"/>
    </row>
    <row r="333">
      <c r="J333" s="24"/>
    </row>
    <row r="334">
      <c r="J334" s="24"/>
    </row>
    <row r="335">
      <c r="J335" s="24"/>
    </row>
    <row r="336">
      <c r="J336" s="24"/>
    </row>
    <row r="337">
      <c r="J337" s="24"/>
    </row>
    <row r="338">
      <c r="J338" s="24"/>
    </row>
    <row r="339">
      <c r="J339" s="24"/>
    </row>
    <row r="340">
      <c r="J340" s="24"/>
    </row>
    <row r="341">
      <c r="J341" s="24"/>
    </row>
    <row r="342">
      <c r="J342" s="24"/>
    </row>
    <row r="343">
      <c r="J343" s="24"/>
    </row>
    <row r="344">
      <c r="J344" s="24"/>
    </row>
    <row r="345">
      <c r="J345" s="24"/>
    </row>
    <row r="346">
      <c r="J346" s="24"/>
    </row>
    <row r="347">
      <c r="J347" s="24"/>
    </row>
    <row r="348">
      <c r="J348" s="24"/>
    </row>
    <row r="349">
      <c r="J349" s="24"/>
    </row>
    <row r="350">
      <c r="J350" s="24"/>
    </row>
    <row r="351">
      <c r="J351" s="24"/>
    </row>
    <row r="352">
      <c r="J352" s="24"/>
    </row>
    <row r="353">
      <c r="J353" s="24"/>
    </row>
    <row r="354">
      <c r="J354" s="24"/>
    </row>
    <row r="355">
      <c r="J355" s="24"/>
    </row>
    <row r="356">
      <c r="J356" s="24"/>
    </row>
    <row r="357">
      <c r="J357" s="24"/>
    </row>
    <row r="358">
      <c r="J358" s="24"/>
    </row>
    <row r="359">
      <c r="J359" s="24"/>
    </row>
    <row r="360">
      <c r="J360" s="24"/>
    </row>
    <row r="361">
      <c r="J361" s="24"/>
    </row>
    <row r="362">
      <c r="J362" s="24"/>
    </row>
    <row r="363">
      <c r="J363" s="24"/>
    </row>
    <row r="364">
      <c r="J364" s="24"/>
    </row>
    <row r="365">
      <c r="J365" s="24"/>
    </row>
    <row r="366">
      <c r="J366" s="24"/>
    </row>
    <row r="367">
      <c r="J367" s="24"/>
    </row>
    <row r="368">
      <c r="J368" s="24"/>
    </row>
    <row r="369">
      <c r="J369" s="24"/>
    </row>
    <row r="370">
      <c r="J370" s="24"/>
    </row>
    <row r="371">
      <c r="J371" s="24"/>
    </row>
    <row r="372">
      <c r="J372" s="24"/>
    </row>
    <row r="373">
      <c r="J373" s="24"/>
    </row>
    <row r="374">
      <c r="J374" s="24"/>
    </row>
    <row r="375">
      <c r="J375" s="24"/>
    </row>
    <row r="376">
      <c r="J376" s="24"/>
    </row>
    <row r="377">
      <c r="J377" s="24"/>
    </row>
    <row r="378">
      <c r="J378" s="24"/>
    </row>
    <row r="379">
      <c r="J379" s="24"/>
    </row>
    <row r="380">
      <c r="J380" s="24"/>
    </row>
    <row r="381">
      <c r="J381" s="24"/>
    </row>
    <row r="382">
      <c r="J382" s="24"/>
    </row>
    <row r="383">
      <c r="J383" s="24"/>
    </row>
    <row r="384">
      <c r="J384" s="24"/>
    </row>
    <row r="385">
      <c r="J385" s="24"/>
    </row>
    <row r="386">
      <c r="J386" s="24"/>
    </row>
    <row r="387">
      <c r="J387" s="24"/>
    </row>
    <row r="388">
      <c r="J388" s="24"/>
    </row>
    <row r="389">
      <c r="J389" s="24"/>
    </row>
    <row r="390">
      <c r="J390" s="24"/>
    </row>
    <row r="391">
      <c r="J391" s="24"/>
    </row>
    <row r="392">
      <c r="J392" s="24"/>
    </row>
    <row r="393">
      <c r="J393" s="24"/>
    </row>
    <row r="394">
      <c r="J394" s="24"/>
    </row>
    <row r="395">
      <c r="J395" s="24"/>
    </row>
    <row r="396">
      <c r="J396" s="24"/>
    </row>
    <row r="397">
      <c r="J397" s="24"/>
    </row>
    <row r="398">
      <c r="J398" s="24"/>
    </row>
    <row r="399">
      <c r="J399" s="24"/>
    </row>
    <row r="400">
      <c r="J400" s="24"/>
    </row>
    <row r="401">
      <c r="J401" s="24"/>
    </row>
    <row r="402">
      <c r="J402" s="24"/>
    </row>
    <row r="403">
      <c r="J403" s="24"/>
    </row>
    <row r="404">
      <c r="J404" s="24"/>
    </row>
    <row r="405">
      <c r="J405" s="24"/>
    </row>
    <row r="406">
      <c r="J406" s="24"/>
    </row>
    <row r="407">
      <c r="J407" s="24"/>
    </row>
    <row r="408">
      <c r="J408" s="24"/>
    </row>
    <row r="409">
      <c r="J409" s="24"/>
    </row>
    <row r="410">
      <c r="J410" s="24"/>
    </row>
    <row r="411">
      <c r="J411" s="24"/>
    </row>
    <row r="412">
      <c r="J412" s="24"/>
    </row>
    <row r="413">
      <c r="J413" s="24"/>
    </row>
    <row r="414">
      <c r="J414" s="24"/>
    </row>
    <row r="415">
      <c r="J415" s="24"/>
    </row>
    <row r="416">
      <c r="J416" s="24"/>
    </row>
    <row r="417">
      <c r="J417" s="24"/>
    </row>
    <row r="418">
      <c r="J418" s="24"/>
    </row>
    <row r="419">
      <c r="J419" s="24"/>
    </row>
    <row r="420">
      <c r="J420" s="24"/>
    </row>
    <row r="421">
      <c r="J421" s="24"/>
    </row>
    <row r="422">
      <c r="J422" s="24"/>
    </row>
    <row r="423">
      <c r="J423" s="24"/>
    </row>
    <row r="424">
      <c r="J424" s="24"/>
    </row>
    <row r="425">
      <c r="J425" s="24"/>
    </row>
    <row r="426">
      <c r="J426" s="24"/>
    </row>
    <row r="427">
      <c r="J427" s="24"/>
    </row>
    <row r="428">
      <c r="J428" s="24"/>
    </row>
    <row r="429">
      <c r="J429" s="24"/>
    </row>
    <row r="430">
      <c r="J430" s="24"/>
    </row>
    <row r="431">
      <c r="J431" s="24"/>
    </row>
    <row r="432">
      <c r="J432" s="24"/>
    </row>
    <row r="433">
      <c r="J433" s="24"/>
    </row>
    <row r="434">
      <c r="J434" s="24"/>
    </row>
    <row r="435">
      <c r="J435" s="24"/>
    </row>
    <row r="436">
      <c r="J436" s="24"/>
    </row>
    <row r="437">
      <c r="J437" s="24"/>
    </row>
    <row r="438">
      <c r="J438" s="24"/>
    </row>
    <row r="439">
      <c r="J439" s="24"/>
    </row>
    <row r="440">
      <c r="J440" s="24"/>
    </row>
    <row r="441">
      <c r="J441" s="24"/>
    </row>
    <row r="442">
      <c r="J442" s="24"/>
    </row>
    <row r="443">
      <c r="J443" s="24"/>
    </row>
    <row r="444">
      <c r="J444" s="24"/>
    </row>
    <row r="445">
      <c r="J445" s="24"/>
    </row>
    <row r="446">
      <c r="J446" s="24"/>
    </row>
    <row r="447">
      <c r="J447" s="24"/>
    </row>
    <row r="448">
      <c r="J448" s="24"/>
    </row>
    <row r="449">
      <c r="J449" s="24"/>
    </row>
    <row r="450">
      <c r="J450" s="24"/>
    </row>
    <row r="451">
      <c r="J451" s="24"/>
    </row>
    <row r="452">
      <c r="J452" s="24"/>
    </row>
    <row r="453">
      <c r="J453" s="24"/>
    </row>
    <row r="454">
      <c r="J454" s="24"/>
    </row>
    <row r="455">
      <c r="J455" s="24"/>
    </row>
    <row r="456">
      <c r="J456" s="24"/>
    </row>
    <row r="457">
      <c r="J457" s="24"/>
    </row>
    <row r="458">
      <c r="J458" s="24"/>
    </row>
    <row r="459">
      <c r="J459" s="24"/>
    </row>
    <row r="460">
      <c r="J460" s="24"/>
    </row>
    <row r="461">
      <c r="J461" s="24"/>
    </row>
    <row r="462">
      <c r="J462" s="24"/>
    </row>
    <row r="463">
      <c r="J463" s="24"/>
    </row>
    <row r="464">
      <c r="J464" s="24"/>
    </row>
    <row r="465">
      <c r="J465" s="24"/>
    </row>
    <row r="466">
      <c r="J466" s="24"/>
    </row>
    <row r="467">
      <c r="J467" s="24"/>
    </row>
    <row r="468">
      <c r="J468" s="24"/>
    </row>
    <row r="469">
      <c r="J469" s="24"/>
    </row>
    <row r="470">
      <c r="J470" s="24"/>
    </row>
    <row r="471">
      <c r="J471" s="24"/>
    </row>
    <row r="472">
      <c r="J472" s="24"/>
    </row>
    <row r="473">
      <c r="J473" s="24"/>
    </row>
    <row r="474">
      <c r="J474" s="24"/>
    </row>
    <row r="475">
      <c r="J475" s="24"/>
    </row>
    <row r="476">
      <c r="J476" s="24"/>
    </row>
    <row r="477">
      <c r="J477" s="24"/>
    </row>
    <row r="478">
      <c r="J478" s="24"/>
    </row>
    <row r="479">
      <c r="J479" s="24"/>
    </row>
    <row r="480">
      <c r="J480" s="24"/>
    </row>
    <row r="481">
      <c r="J481" s="24"/>
    </row>
    <row r="482">
      <c r="J482" s="24"/>
    </row>
    <row r="483">
      <c r="J483" s="24"/>
    </row>
    <row r="484">
      <c r="J484" s="24"/>
    </row>
    <row r="485">
      <c r="J485" s="24"/>
    </row>
    <row r="486">
      <c r="J486" s="24"/>
    </row>
    <row r="487">
      <c r="J487" s="24"/>
    </row>
    <row r="488">
      <c r="J488" s="24"/>
    </row>
    <row r="489">
      <c r="J489" s="24"/>
    </row>
    <row r="490">
      <c r="J490" s="24"/>
    </row>
    <row r="491">
      <c r="J491" s="24"/>
    </row>
    <row r="492">
      <c r="J492" s="24"/>
    </row>
    <row r="493">
      <c r="J493" s="24"/>
    </row>
    <row r="494">
      <c r="J494" s="24"/>
    </row>
    <row r="495">
      <c r="J495" s="24"/>
    </row>
    <row r="496">
      <c r="J496" s="24"/>
    </row>
    <row r="497">
      <c r="J497" s="24"/>
    </row>
    <row r="498">
      <c r="J498" s="24"/>
    </row>
    <row r="499">
      <c r="J499" s="24"/>
    </row>
    <row r="500">
      <c r="J500" s="24"/>
    </row>
    <row r="501">
      <c r="J501" s="24"/>
    </row>
    <row r="502">
      <c r="J502" s="24"/>
    </row>
    <row r="503">
      <c r="J503" s="24"/>
    </row>
    <row r="504">
      <c r="J504" s="24"/>
    </row>
    <row r="505">
      <c r="J505" s="24"/>
    </row>
    <row r="506">
      <c r="J506" s="24"/>
    </row>
    <row r="507">
      <c r="J507" s="24"/>
    </row>
    <row r="508">
      <c r="J508" s="24"/>
    </row>
    <row r="509">
      <c r="J509" s="24"/>
    </row>
    <row r="510">
      <c r="J510" s="24"/>
    </row>
    <row r="511">
      <c r="J511" s="24"/>
    </row>
    <row r="512">
      <c r="J512" s="24"/>
    </row>
    <row r="513">
      <c r="J513" s="24"/>
    </row>
    <row r="514">
      <c r="J514" s="24"/>
    </row>
    <row r="515">
      <c r="J515" s="24"/>
    </row>
    <row r="516">
      <c r="J516" s="24"/>
    </row>
    <row r="517">
      <c r="J517" s="24"/>
    </row>
    <row r="518">
      <c r="J518" s="24"/>
    </row>
    <row r="519">
      <c r="J519" s="24"/>
    </row>
    <row r="520">
      <c r="J520" s="24"/>
    </row>
    <row r="521">
      <c r="J521" s="24"/>
    </row>
    <row r="522">
      <c r="J522" s="24"/>
    </row>
    <row r="523">
      <c r="J523" s="24"/>
    </row>
    <row r="524">
      <c r="J524" s="24"/>
    </row>
    <row r="525">
      <c r="J525" s="24"/>
    </row>
    <row r="526">
      <c r="J526" s="24"/>
    </row>
    <row r="527">
      <c r="J527" s="24"/>
    </row>
    <row r="528">
      <c r="J528" s="24"/>
    </row>
    <row r="529">
      <c r="J529" s="24"/>
    </row>
    <row r="530">
      <c r="J530" s="24"/>
    </row>
    <row r="531">
      <c r="J531" s="24"/>
    </row>
    <row r="532">
      <c r="J532" s="24"/>
    </row>
    <row r="533">
      <c r="J533" s="24"/>
    </row>
    <row r="534">
      <c r="J534" s="24"/>
    </row>
    <row r="535">
      <c r="J535" s="24"/>
    </row>
    <row r="536">
      <c r="J536" s="24"/>
    </row>
    <row r="537">
      <c r="J537" s="24"/>
    </row>
    <row r="538">
      <c r="J538" s="24"/>
    </row>
    <row r="539">
      <c r="J539" s="24"/>
    </row>
    <row r="540">
      <c r="J540" s="24"/>
    </row>
    <row r="541">
      <c r="J541" s="24"/>
    </row>
    <row r="542">
      <c r="J542" s="24"/>
    </row>
    <row r="543">
      <c r="J543" s="24"/>
    </row>
    <row r="544">
      <c r="J544" s="24"/>
    </row>
    <row r="545">
      <c r="J545" s="24"/>
    </row>
    <row r="546">
      <c r="J546" s="24"/>
    </row>
    <row r="547">
      <c r="J547" s="24"/>
    </row>
    <row r="548">
      <c r="J548" s="24"/>
    </row>
    <row r="549">
      <c r="J549" s="24"/>
    </row>
    <row r="550">
      <c r="J550" s="24"/>
    </row>
    <row r="551">
      <c r="J551" s="24"/>
    </row>
    <row r="552">
      <c r="J552" s="24"/>
    </row>
    <row r="553">
      <c r="J553" s="24"/>
    </row>
    <row r="554">
      <c r="J554" s="24"/>
    </row>
    <row r="555">
      <c r="J555" s="24"/>
    </row>
    <row r="556">
      <c r="J556" s="24"/>
    </row>
    <row r="557">
      <c r="J557" s="24"/>
    </row>
    <row r="558">
      <c r="J558" s="24"/>
    </row>
    <row r="559">
      <c r="J559" s="24"/>
    </row>
    <row r="560">
      <c r="J560" s="24"/>
    </row>
    <row r="561">
      <c r="J561" s="24"/>
    </row>
    <row r="562">
      <c r="J562" s="24"/>
    </row>
    <row r="563">
      <c r="J563" s="24"/>
    </row>
    <row r="564">
      <c r="J564" s="24"/>
    </row>
    <row r="565">
      <c r="J565" s="24"/>
    </row>
    <row r="566">
      <c r="J566" s="24"/>
    </row>
    <row r="567">
      <c r="J567" s="24"/>
    </row>
    <row r="568">
      <c r="J568" s="24"/>
    </row>
    <row r="569">
      <c r="J569" s="24"/>
    </row>
    <row r="570">
      <c r="J570" s="24"/>
    </row>
    <row r="571">
      <c r="J571" s="24"/>
    </row>
    <row r="572">
      <c r="J572" s="24"/>
    </row>
    <row r="573">
      <c r="J573" s="24"/>
    </row>
    <row r="574">
      <c r="J574" s="24"/>
    </row>
    <row r="575">
      <c r="J575" s="24"/>
    </row>
    <row r="576">
      <c r="J576" s="24"/>
    </row>
    <row r="577">
      <c r="J577" s="24"/>
    </row>
    <row r="578">
      <c r="J578" s="24"/>
    </row>
    <row r="579">
      <c r="J579" s="24"/>
    </row>
    <row r="580">
      <c r="J580" s="24"/>
    </row>
    <row r="581">
      <c r="J581" s="24"/>
    </row>
    <row r="582">
      <c r="J582" s="24"/>
    </row>
    <row r="583">
      <c r="J583" s="24"/>
    </row>
    <row r="584">
      <c r="J584" s="24"/>
    </row>
    <row r="585">
      <c r="J585" s="24"/>
    </row>
    <row r="586">
      <c r="J586" s="24"/>
    </row>
    <row r="587">
      <c r="J587" s="24"/>
    </row>
    <row r="588">
      <c r="J588" s="24"/>
    </row>
    <row r="589">
      <c r="J589" s="24"/>
    </row>
    <row r="590">
      <c r="J590" s="24"/>
    </row>
    <row r="591">
      <c r="J591" s="24"/>
    </row>
    <row r="592">
      <c r="J592" s="24"/>
    </row>
    <row r="593">
      <c r="J593" s="24"/>
    </row>
    <row r="594">
      <c r="J594" s="24"/>
    </row>
    <row r="595">
      <c r="J595" s="24"/>
    </row>
    <row r="596">
      <c r="J596" s="24"/>
    </row>
    <row r="597">
      <c r="J597" s="24"/>
    </row>
    <row r="598">
      <c r="J598" s="24"/>
    </row>
    <row r="599">
      <c r="J599" s="24"/>
    </row>
    <row r="600">
      <c r="J600" s="24"/>
    </row>
    <row r="601">
      <c r="J601" s="24"/>
    </row>
    <row r="602">
      <c r="J602" s="24"/>
    </row>
    <row r="603">
      <c r="J603" s="24"/>
    </row>
    <row r="604">
      <c r="J604" s="24"/>
    </row>
    <row r="605">
      <c r="J605" s="24"/>
    </row>
    <row r="606">
      <c r="J606" s="24"/>
    </row>
    <row r="607">
      <c r="J607" s="24"/>
    </row>
    <row r="608">
      <c r="J608" s="24"/>
    </row>
    <row r="609">
      <c r="J609" s="24"/>
    </row>
    <row r="610">
      <c r="J610" s="24"/>
    </row>
    <row r="611">
      <c r="J611" s="24"/>
    </row>
    <row r="612">
      <c r="J612" s="24"/>
    </row>
    <row r="613">
      <c r="J613" s="24"/>
    </row>
    <row r="614">
      <c r="J614" s="24"/>
    </row>
    <row r="615">
      <c r="J615" s="24"/>
    </row>
    <row r="616">
      <c r="J616" s="24"/>
    </row>
    <row r="617">
      <c r="J617" s="24"/>
    </row>
    <row r="618">
      <c r="J618" s="24"/>
    </row>
    <row r="619">
      <c r="J619" s="24"/>
    </row>
    <row r="620">
      <c r="J620" s="24"/>
    </row>
    <row r="621">
      <c r="J621" s="24"/>
    </row>
    <row r="622">
      <c r="J622" s="24"/>
    </row>
    <row r="623">
      <c r="J623" s="24"/>
    </row>
    <row r="624">
      <c r="J624" s="24"/>
    </row>
    <row r="625">
      <c r="J625" s="24"/>
    </row>
    <row r="626">
      <c r="J626" s="24"/>
    </row>
    <row r="627">
      <c r="J627" s="24"/>
    </row>
    <row r="628">
      <c r="J628" s="24"/>
    </row>
    <row r="629">
      <c r="J629" s="24"/>
    </row>
    <row r="630">
      <c r="J630" s="24"/>
    </row>
    <row r="631">
      <c r="J631" s="24"/>
    </row>
    <row r="632">
      <c r="J632" s="24"/>
    </row>
    <row r="633">
      <c r="J633" s="24"/>
    </row>
    <row r="634">
      <c r="J634" s="24"/>
    </row>
    <row r="635">
      <c r="J635" s="24"/>
    </row>
    <row r="636">
      <c r="J636" s="24"/>
    </row>
    <row r="637">
      <c r="J637" s="24"/>
    </row>
    <row r="638">
      <c r="J638" s="24"/>
    </row>
    <row r="639">
      <c r="J639" s="24"/>
    </row>
    <row r="640">
      <c r="J640" s="24"/>
    </row>
    <row r="641">
      <c r="J641" s="24"/>
    </row>
    <row r="642">
      <c r="J642" s="24"/>
    </row>
    <row r="643">
      <c r="J643" s="24"/>
    </row>
    <row r="644">
      <c r="J644" s="24"/>
    </row>
    <row r="645">
      <c r="J645" s="24"/>
    </row>
    <row r="646">
      <c r="J646" s="24"/>
    </row>
    <row r="647">
      <c r="J647" s="24"/>
    </row>
    <row r="648">
      <c r="J648" s="24"/>
    </row>
    <row r="649">
      <c r="J649" s="24"/>
    </row>
    <row r="650">
      <c r="J650" s="24"/>
    </row>
    <row r="651">
      <c r="J651" s="24"/>
    </row>
    <row r="652">
      <c r="J652" s="24"/>
    </row>
    <row r="653">
      <c r="J653" s="24"/>
    </row>
    <row r="654">
      <c r="J654" s="24"/>
    </row>
    <row r="655">
      <c r="J655" s="24"/>
    </row>
    <row r="656">
      <c r="J656" s="24"/>
    </row>
    <row r="657">
      <c r="J657" s="24"/>
    </row>
    <row r="658">
      <c r="J658" s="24"/>
    </row>
    <row r="659">
      <c r="J659" s="24"/>
    </row>
    <row r="660">
      <c r="J660" s="24"/>
    </row>
    <row r="661">
      <c r="J661" s="24"/>
    </row>
    <row r="662">
      <c r="J662" s="24"/>
    </row>
    <row r="663">
      <c r="J663" s="24"/>
    </row>
    <row r="664">
      <c r="J664" s="24"/>
    </row>
    <row r="665">
      <c r="J665" s="24"/>
    </row>
    <row r="666">
      <c r="J666" s="24"/>
    </row>
    <row r="667">
      <c r="J667" s="24"/>
    </row>
    <row r="668">
      <c r="J668" s="24"/>
    </row>
    <row r="669">
      <c r="J669" s="24"/>
    </row>
    <row r="670">
      <c r="J670" s="24"/>
    </row>
    <row r="671">
      <c r="J671" s="24"/>
    </row>
    <row r="672">
      <c r="J672" s="24"/>
    </row>
    <row r="673">
      <c r="J673" s="24"/>
    </row>
    <row r="674">
      <c r="J674" s="24"/>
    </row>
    <row r="675">
      <c r="J675" s="24"/>
    </row>
    <row r="676">
      <c r="J676" s="24"/>
    </row>
    <row r="677">
      <c r="J677" s="24"/>
    </row>
    <row r="678">
      <c r="J678" s="24"/>
    </row>
    <row r="679">
      <c r="J679" s="24"/>
    </row>
    <row r="680">
      <c r="J680" s="24"/>
    </row>
    <row r="681">
      <c r="J681" s="24"/>
    </row>
    <row r="682">
      <c r="J682" s="24"/>
    </row>
    <row r="683">
      <c r="J683" s="24"/>
    </row>
    <row r="684">
      <c r="J684" s="24"/>
    </row>
    <row r="685">
      <c r="J685" s="24"/>
    </row>
    <row r="686">
      <c r="J686" s="24"/>
    </row>
    <row r="687">
      <c r="J687" s="24"/>
    </row>
    <row r="688">
      <c r="J688" s="24"/>
    </row>
    <row r="689">
      <c r="J689" s="24"/>
    </row>
    <row r="690">
      <c r="J690" s="24"/>
    </row>
    <row r="691">
      <c r="J691" s="24"/>
    </row>
    <row r="692">
      <c r="J692" s="24"/>
    </row>
    <row r="693">
      <c r="J693" s="24"/>
    </row>
    <row r="694">
      <c r="J694" s="24"/>
    </row>
    <row r="695">
      <c r="J695" s="24"/>
    </row>
    <row r="696">
      <c r="J696" s="24"/>
    </row>
    <row r="697">
      <c r="J697" s="24"/>
    </row>
    <row r="698">
      <c r="J698" s="24"/>
    </row>
    <row r="699">
      <c r="J699" s="24"/>
    </row>
    <row r="700">
      <c r="J700" s="24"/>
    </row>
    <row r="701">
      <c r="J701" s="24"/>
    </row>
    <row r="702">
      <c r="J702" s="24"/>
    </row>
    <row r="703">
      <c r="J703" s="24"/>
    </row>
    <row r="704">
      <c r="J704" s="24"/>
    </row>
    <row r="705">
      <c r="J705" s="24"/>
    </row>
    <row r="706">
      <c r="J706" s="24"/>
    </row>
    <row r="707">
      <c r="J707" s="24"/>
    </row>
    <row r="708">
      <c r="J708" s="24"/>
    </row>
    <row r="709">
      <c r="J709" s="24"/>
    </row>
    <row r="710">
      <c r="J710" s="24"/>
    </row>
    <row r="711">
      <c r="J711" s="24"/>
    </row>
    <row r="712">
      <c r="J712" s="24"/>
    </row>
    <row r="713">
      <c r="J713" s="24"/>
    </row>
    <row r="714">
      <c r="J714" s="24"/>
    </row>
    <row r="715">
      <c r="J715" s="24"/>
    </row>
    <row r="716">
      <c r="J716" s="24"/>
    </row>
    <row r="717">
      <c r="J717" s="24"/>
    </row>
    <row r="718">
      <c r="J718" s="24"/>
    </row>
    <row r="719">
      <c r="J719" s="24"/>
    </row>
    <row r="720">
      <c r="J720" s="24"/>
    </row>
    <row r="721">
      <c r="J721" s="24"/>
    </row>
    <row r="722">
      <c r="J722" s="24"/>
    </row>
    <row r="723">
      <c r="J723" s="24"/>
    </row>
    <row r="724">
      <c r="J724" s="24"/>
    </row>
    <row r="725">
      <c r="J725" s="24"/>
    </row>
    <row r="726">
      <c r="J726" s="24"/>
    </row>
    <row r="727">
      <c r="J727" s="24"/>
    </row>
    <row r="728">
      <c r="J728" s="24"/>
    </row>
    <row r="729">
      <c r="J729" s="24"/>
    </row>
    <row r="730">
      <c r="J730" s="24"/>
    </row>
    <row r="731">
      <c r="J731" s="24"/>
    </row>
    <row r="732">
      <c r="J732" s="24"/>
    </row>
    <row r="733">
      <c r="J733" s="24"/>
    </row>
    <row r="734">
      <c r="J734" s="24"/>
    </row>
    <row r="735">
      <c r="J735" s="24"/>
    </row>
    <row r="736">
      <c r="J736" s="24"/>
    </row>
    <row r="737">
      <c r="J737" s="24"/>
    </row>
    <row r="738">
      <c r="J738" s="24"/>
    </row>
    <row r="739">
      <c r="J739" s="24"/>
    </row>
    <row r="740">
      <c r="J740" s="24"/>
    </row>
    <row r="741">
      <c r="J741" s="24"/>
    </row>
    <row r="742">
      <c r="J742" s="24"/>
    </row>
    <row r="743">
      <c r="J743" s="24"/>
    </row>
    <row r="744">
      <c r="J744" s="24"/>
    </row>
    <row r="745">
      <c r="J745" s="24"/>
    </row>
    <row r="746">
      <c r="J746" s="24"/>
    </row>
    <row r="747">
      <c r="J747" s="24"/>
    </row>
    <row r="748">
      <c r="J748" s="24"/>
    </row>
    <row r="749">
      <c r="J749" s="24"/>
    </row>
    <row r="750">
      <c r="J750" s="24"/>
    </row>
    <row r="751">
      <c r="J751" s="24"/>
    </row>
    <row r="752">
      <c r="J752" s="24"/>
    </row>
    <row r="753">
      <c r="J753" s="24"/>
    </row>
    <row r="754">
      <c r="J754" s="24"/>
    </row>
    <row r="755">
      <c r="J755" s="24"/>
    </row>
    <row r="756">
      <c r="J756" s="24"/>
    </row>
    <row r="757">
      <c r="J757" s="24"/>
    </row>
    <row r="758">
      <c r="J758" s="24"/>
    </row>
    <row r="759">
      <c r="J759" s="24"/>
    </row>
    <row r="760">
      <c r="J760" s="24"/>
    </row>
    <row r="761">
      <c r="J761" s="24"/>
    </row>
    <row r="762">
      <c r="J762" s="24"/>
    </row>
    <row r="763">
      <c r="J763" s="24"/>
    </row>
    <row r="764">
      <c r="J764" s="24"/>
    </row>
    <row r="765">
      <c r="J765" s="24"/>
    </row>
    <row r="766">
      <c r="J766" s="24"/>
    </row>
    <row r="767">
      <c r="J767" s="24"/>
    </row>
    <row r="768">
      <c r="J768" s="24"/>
    </row>
    <row r="769">
      <c r="J769" s="24"/>
    </row>
    <row r="770">
      <c r="J770" s="24"/>
    </row>
    <row r="771">
      <c r="J771" s="24"/>
    </row>
    <row r="772">
      <c r="J772" s="24"/>
    </row>
    <row r="773">
      <c r="J773" s="24"/>
    </row>
    <row r="774">
      <c r="J774" s="24"/>
    </row>
    <row r="775">
      <c r="J775" s="24"/>
    </row>
    <row r="776">
      <c r="J776" s="24"/>
    </row>
    <row r="777">
      <c r="J777" s="24"/>
    </row>
    <row r="778">
      <c r="J778" s="24"/>
    </row>
    <row r="779">
      <c r="J779" s="24"/>
    </row>
    <row r="780">
      <c r="J780" s="24"/>
    </row>
    <row r="781">
      <c r="J781" s="24"/>
    </row>
    <row r="782">
      <c r="J782" s="24"/>
    </row>
    <row r="783">
      <c r="J783" s="24"/>
    </row>
    <row r="784">
      <c r="J784" s="24"/>
    </row>
    <row r="785">
      <c r="J785" s="24"/>
    </row>
    <row r="786">
      <c r="J786" s="24"/>
    </row>
    <row r="787">
      <c r="J787" s="24"/>
    </row>
    <row r="788">
      <c r="J788" s="24"/>
    </row>
    <row r="789">
      <c r="J789" s="24"/>
    </row>
    <row r="790">
      <c r="J790" s="24"/>
    </row>
    <row r="791">
      <c r="J791" s="24"/>
    </row>
    <row r="792">
      <c r="J792" s="24"/>
    </row>
    <row r="793">
      <c r="J793" s="24"/>
    </row>
    <row r="794">
      <c r="J794" s="24"/>
    </row>
    <row r="795">
      <c r="J795" s="24"/>
    </row>
    <row r="796">
      <c r="J796" s="24"/>
    </row>
    <row r="797">
      <c r="J797" s="24"/>
    </row>
    <row r="798">
      <c r="J798" s="24"/>
    </row>
    <row r="799">
      <c r="J799" s="24"/>
    </row>
    <row r="800">
      <c r="J800" s="24"/>
    </row>
    <row r="801">
      <c r="J801" s="24"/>
    </row>
    <row r="802">
      <c r="J802" s="24"/>
    </row>
    <row r="803">
      <c r="J803" s="24"/>
    </row>
    <row r="804">
      <c r="J804" s="24"/>
    </row>
    <row r="805">
      <c r="J805" s="24"/>
    </row>
    <row r="806">
      <c r="J806" s="24"/>
    </row>
    <row r="807">
      <c r="J807" s="24"/>
    </row>
    <row r="808">
      <c r="J808" s="24"/>
    </row>
    <row r="809">
      <c r="J809" s="24"/>
    </row>
    <row r="810">
      <c r="J810" s="24"/>
    </row>
    <row r="811">
      <c r="J811" s="24"/>
    </row>
    <row r="812">
      <c r="J812" s="24"/>
    </row>
    <row r="813">
      <c r="J813" s="24"/>
    </row>
    <row r="814">
      <c r="J814" s="24"/>
    </row>
    <row r="815">
      <c r="J815" s="24"/>
    </row>
    <row r="816">
      <c r="J816" s="24"/>
    </row>
    <row r="817">
      <c r="J817" s="24"/>
    </row>
    <row r="818">
      <c r="J818" s="24"/>
    </row>
    <row r="819">
      <c r="J819" s="24"/>
    </row>
    <row r="820">
      <c r="J820" s="24"/>
    </row>
    <row r="821">
      <c r="J821" s="24"/>
    </row>
    <row r="822">
      <c r="J822" s="24"/>
    </row>
    <row r="823">
      <c r="J823" s="24"/>
    </row>
    <row r="824">
      <c r="J824" s="24"/>
    </row>
    <row r="825">
      <c r="J825" s="24"/>
    </row>
    <row r="826">
      <c r="J826" s="24"/>
    </row>
    <row r="827">
      <c r="J827" s="24"/>
    </row>
    <row r="828">
      <c r="J828" s="24"/>
    </row>
    <row r="829">
      <c r="J829" s="24"/>
    </row>
    <row r="830">
      <c r="J830" s="24"/>
    </row>
    <row r="831">
      <c r="J831" s="24"/>
    </row>
    <row r="832">
      <c r="J832" s="24"/>
    </row>
    <row r="833">
      <c r="J833" s="24"/>
    </row>
    <row r="834">
      <c r="J834" s="24"/>
    </row>
    <row r="835">
      <c r="J835" s="24"/>
    </row>
    <row r="836">
      <c r="J836" s="24"/>
    </row>
    <row r="837">
      <c r="J837" s="24"/>
    </row>
    <row r="838">
      <c r="J838" s="24"/>
    </row>
    <row r="839">
      <c r="J839" s="24"/>
    </row>
    <row r="840">
      <c r="J840" s="24"/>
    </row>
    <row r="841">
      <c r="J841" s="24"/>
    </row>
    <row r="842">
      <c r="J842" s="24"/>
    </row>
    <row r="843">
      <c r="J843" s="24"/>
    </row>
    <row r="844">
      <c r="J844" s="24"/>
    </row>
    <row r="845">
      <c r="J845" s="24"/>
    </row>
    <row r="846">
      <c r="J846" s="24"/>
    </row>
    <row r="847">
      <c r="J847" s="24"/>
    </row>
    <row r="848">
      <c r="J848" s="24"/>
    </row>
    <row r="849">
      <c r="J849" s="24"/>
    </row>
    <row r="850">
      <c r="J850" s="24"/>
    </row>
    <row r="851">
      <c r="J851" s="24"/>
    </row>
    <row r="852">
      <c r="J852" s="24"/>
    </row>
    <row r="853">
      <c r="J853" s="24"/>
    </row>
    <row r="854">
      <c r="J854" s="24"/>
    </row>
    <row r="855">
      <c r="J855" s="24"/>
    </row>
    <row r="856">
      <c r="J856" s="24"/>
    </row>
    <row r="857">
      <c r="J857" s="24"/>
    </row>
    <row r="858">
      <c r="J858" s="24"/>
    </row>
    <row r="859">
      <c r="J859" s="24"/>
    </row>
    <row r="860">
      <c r="J860" s="24"/>
    </row>
    <row r="861">
      <c r="J861" s="24"/>
    </row>
    <row r="862">
      <c r="J862" s="24"/>
    </row>
    <row r="863">
      <c r="J863" s="24"/>
    </row>
    <row r="864">
      <c r="J864" s="24"/>
    </row>
    <row r="865">
      <c r="J865" s="24"/>
    </row>
    <row r="866">
      <c r="J866" s="24"/>
    </row>
    <row r="867">
      <c r="J867" s="24"/>
    </row>
    <row r="868">
      <c r="J868" s="24"/>
    </row>
    <row r="869">
      <c r="J869" s="24"/>
    </row>
    <row r="870">
      <c r="J870" s="24"/>
    </row>
    <row r="871">
      <c r="J871" s="24"/>
    </row>
    <row r="872">
      <c r="J872" s="24"/>
    </row>
    <row r="873">
      <c r="J873" s="24"/>
    </row>
    <row r="874">
      <c r="J874" s="24"/>
    </row>
    <row r="875">
      <c r="J875" s="24"/>
    </row>
    <row r="876">
      <c r="J876" s="24"/>
    </row>
    <row r="877">
      <c r="J877" s="24"/>
    </row>
    <row r="878">
      <c r="J878" s="24"/>
    </row>
    <row r="879">
      <c r="J879" s="24"/>
    </row>
    <row r="880">
      <c r="J880" s="24"/>
    </row>
    <row r="881">
      <c r="J881" s="24"/>
    </row>
    <row r="882">
      <c r="J882" s="24"/>
    </row>
    <row r="883">
      <c r="J883" s="24"/>
    </row>
    <row r="884">
      <c r="J884" s="24"/>
    </row>
    <row r="885">
      <c r="J885" s="24"/>
    </row>
    <row r="886">
      <c r="J886" s="24"/>
    </row>
    <row r="887">
      <c r="J887" s="24"/>
    </row>
    <row r="888">
      <c r="J888" s="24"/>
    </row>
    <row r="889">
      <c r="J889" s="24"/>
    </row>
    <row r="890">
      <c r="J890" s="24"/>
    </row>
    <row r="891">
      <c r="J891" s="24"/>
    </row>
    <row r="892">
      <c r="J892" s="24"/>
    </row>
    <row r="893">
      <c r="J893" s="24"/>
    </row>
    <row r="894">
      <c r="J894" s="24"/>
    </row>
    <row r="895">
      <c r="J895" s="24"/>
    </row>
    <row r="896">
      <c r="J896" s="24"/>
    </row>
    <row r="897">
      <c r="J897" s="24"/>
    </row>
    <row r="898">
      <c r="J898" s="24"/>
    </row>
    <row r="899">
      <c r="J899" s="24"/>
    </row>
    <row r="900">
      <c r="J900" s="24"/>
    </row>
    <row r="901">
      <c r="J901" s="24"/>
    </row>
    <row r="902">
      <c r="J902" s="24"/>
    </row>
    <row r="903">
      <c r="J903" s="24"/>
    </row>
    <row r="904">
      <c r="J904" s="24"/>
    </row>
    <row r="905">
      <c r="J905" s="24"/>
    </row>
    <row r="906">
      <c r="J906" s="24"/>
    </row>
    <row r="907">
      <c r="J907" s="24"/>
    </row>
    <row r="908">
      <c r="J908" s="24"/>
    </row>
    <row r="909">
      <c r="J909" s="24"/>
    </row>
    <row r="910">
      <c r="J910" s="24"/>
    </row>
    <row r="911">
      <c r="J911" s="24"/>
    </row>
    <row r="912">
      <c r="J912" s="24"/>
    </row>
    <row r="913">
      <c r="J913" s="24"/>
    </row>
    <row r="914">
      <c r="J914" s="24"/>
    </row>
    <row r="915">
      <c r="J915" s="24"/>
    </row>
    <row r="916">
      <c r="J916" s="24"/>
    </row>
    <row r="917">
      <c r="J917" s="24"/>
    </row>
    <row r="918">
      <c r="J918" s="24"/>
    </row>
    <row r="919">
      <c r="J919" s="24"/>
    </row>
    <row r="920">
      <c r="J920" s="24"/>
    </row>
    <row r="921">
      <c r="J921" s="24"/>
    </row>
    <row r="922">
      <c r="J922" s="24"/>
    </row>
    <row r="923">
      <c r="J923" s="24"/>
    </row>
    <row r="924">
      <c r="J924" s="24"/>
    </row>
    <row r="925">
      <c r="J925" s="24"/>
    </row>
    <row r="926">
      <c r="J926" s="24"/>
    </row>
    <row r="927">
      <c r="J927" s="24"/>
    </row>
    <row r="928">
      <c r="J928" s="24"/>
    </row>
    <row r="929">
      <c r="J929" s="24"/>
    </row>
    <row r="930">
      <c r="J930" s="24"/>
    </row>
    <row r="931">
      <c r="J931" s="24"/>
    </row>
    <row r="932">
      <c r="J932" s="24"/>
    </row>
    <row r="933">
      <c r="J933" s="24"/>
    </row>
    <row r="934">
      <c r="J934" s="24"/>
    </row>
    <row r="935">
      <c r="J935" s="24"/>
    </row>
    <row r="936">
      <c r="J936" s="24"/>
    </row>
    <row r="937">
      <c r="J937" s="24"/>
    </row>
    <row r="938">
      <c r="J938" s="24"/>
    </row>
    <row r="939">
      <c r="J939" s="24"/>
    </row>
    <row r="940">
      <c r="J940" s="24"/>
    </row>
    <row r="941">
      <c r="J941" s="24"/>
    </row>
    <row r="942">
      <c r="J942" s="24"/>
    </row>
    <row r="943">
      <c r="J943" s="24"/>
    </row>
    <row r="944">
      <c r="J944" s="24"/>
    </row>
    <row r="945">
      <c r="J945" s="24"/>
    </row>
    <row r="946">
      <c r="J946" s="24"/>
    </row>
    <row r="947">
      <c r="J947" s="24"/>
    </row>
    <row r="948">
      <c r="J948" s="24"/>
    </row>
    <row r="949">
      <c r="J949" s="24"/>
    </row>
    <row r="950">
      <c r="J950" s="24"/>
    </row>
    <row r="951">
      <c r="J951" s="24"/>
    </row>
    <row r="952">
      <c r="J952" s="24"/>
    </row>
    <row r="953">
      <c r="J953" s="24"/>
    </row>
    <row r="954">
      <c r="J954" s="24"/>
    </row>
    <row r="955">
      <c r="J955" s="24"/>
    </row>
    <row r="956">
      <c r="J956" s="24"/>
    </row>
    <row r="957">
      <c r="J957" s="24"/>
    </row>
    <row r="958">
      <c r="J958" s="24"/>
    </row>
    <row r="959">
      <c r="J959" s="24"/>
    </row>
    <row r="960">
      <c r="J960" s="24"/>
    </row>
    <row r="961">
      <c r="J961" s="24"/>
    </row>
    <row r="962">
      <c r="J962" s="24"/>
    </row>
    <row r="963">
      <c r="J963" s="24"/>
    </row>
    <row r="964">
      <c r="J964" s="24"/>
    </row>
    <row r="965">
      <c r="J965" s="24"/>
    </row>
    <row r="966">
      <c r="J966" s="24"/>
    </row>
    <row r="967">
      <c r="J967" s="24"/>
    </row>
    <row r="968">
      <c r="J968" s="24"/>
    </row>
    <row r="969">
      <c r="J969" s="24"/>
    </row>
    <row r="970">
      <c r="J970" s="24"/>
    </row>
    <row r="971">
      <c r="J971" s="24"/>
    </row>
    <row r="972">
      <c r="J972" s="24"/>
    </row>
    <row r="973">
      <c r="J973" s="24"/>
    </row>
  </sheetData>
  <mergeCells count="12">
    <mergeCell ref="U14:U16"/>
    <mergeCell ref="V14:V16"/>
    <mergeCell ref="T17:T20"/>
    <mergeCell ref="U17:U20"/>
    <mergeCell ref="V17:V20"/>
    <mergeCell ref="T2:T7"/>
    <mergeCell ref="U2:U7"/>
    <mergeCell ref="V2:V7"/>
    <mergeCell ref="T8:T13"/>
    <mergeCell ref="U8:U13"/>
    <mergeCell ref="V8:V13"/>
    <mergeCell ref="T14:T1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5"/>
    <col customWidth="1" min="13" max="14" width="10.5"/>
  </cols>
  <sheetData>
    <row r="1">
      <c r="A1" s="25"/>
      <c r="B1" s="25"/>
      <c r="C1" s="25"/>
      <c r="D1" s="25"/>
      <c r="E1" s="26"/>
      <c r="F1" s="25"/>
      <c r="G1" s="25"/>
      <c r="H1" s="25"/>
      <c r="I1" s="25"/>
      <c r="J1" s="25"/>
      <c r="K1" s="25"/>
      <c r="L1" s="25"/>
      <c r="M1" s="25"/>
      <c r="N1" s="27"/>
    </row>
    <row r="2">
      <c r="A2" s="25"/>
      <c r="B2" s="26"/>
      <c r="C2" s="25"/>
      <c r="D2" s="28"/>
      <c r="E2" s="27"/>
      <c r="F2" s="29"/>
      <c r="G2" s="25"/>
      <c r="H2" s="25"/>
      <c r="I2" s="25"/>
      <c r="J2" s="25"/>
      <c r="K2" s="25"/>
      <c r="L2" s="25"/>
      <c r="M2" s="25"/>
      <c r="N2" s="27"/>
    </row>
    <row r="3">
      <c r="A3" s="26"/>
      <c r="B3" s="30"/>
      <c r="C3" s="29"/>
      <c r="D3" s="25"/>
      <c r="E3" s="31"/>
      <c r="F3" s="25"/>
      <c r="G3" s="25"/>
      <c r="H3" s="25"/>
      <c r="I3" s="25"/>
      <c r="J3" s="25"/>
      <c r="K3" s="25"/>
      <c r="L3" s="25"/>
      <c r="M3" s="25"/>
      <c r="N3" s="27"/>
    </row>
    <row r="4" ht="118.5" customHeight="1">
      <c r="A4" s="32" t="s">
        <v>200</v>
      </c>
      <c r="B4" s="33"/>
      <c r="C4" s="34"/>
      <c r="D4" s="26"/>
      <c r="E4" s="26"/>
      <c r="F4" s="26"/>
      <c r="G4" s="26"/>
      <c r="H4" s="26"/>
      <c r="I4" s="26"/>
      <c r="J4" s="26"/>
      <c r="K4" s="26"/>
      <c r="L4" s="26"/>
      <c r="M4" s="25"/>
      <c r="N4" s="27"/>
    </row>
    <row r="5" ht="5.25" customHeight="1">
      <c r="A5" s="35"/>
      <c r="B5" s="36"/>
      <c r="C5" s="37"/>
      <c r="D5" s="37"/>
      <c r="E5" s="37"/>
      <c r="F5" s="37"/>
      <c r="G5" s="37"/>
      <c r="H5" s="37"/>
      <c r="I5" s="37"/>
      <c r="J5" s="37"/>
      <c r="K5" s="37"/>
      <c r="L5" s="37"/>
      <c r="M5" s="38"/>
      <c r="N5" s="27"/>
    </row>
    <row r="6">
      <c r="A6" s="39" t="s">
        <v>215</v>
      </c>
      <c r="B6" s="40"/>
      <c r="C6" s="41"/>
      <c r="D6" s="31"/>
      <c r="E6" s="31"/>
      <c r="F6" s="31"/>
      <c r="G6" s="31"/>
      <c r="H6" s="31"/>
      <c r="I6" s="31"/>
      <c r="J6" s="31"/>
      <c r="K6" s="31"/>
      <c r="L6" s="31"/>
      <c r="M6" s="31"/>
      <c r="N6" s="27"/>
    </row>
    <row r="7">
      <c r="A7" s="42"/>
      <c r="B7" s="43"/>
      <c r="C7" s="29"/>
      <c r="D7" s="25"/>
      <c r="E7" s="25"/>
      <c r="F7" s="25"/>
      <c r="G7" s="25"/>
      <c r="H7" s="25"/>
      <c r="I7" s="25"/>
      <c r="J7" s="25"/>
      <c r="K7" s="25"/>
      <c r="L7" s="25"/>
      <c r="M7" s="25"/>
      <c r="N7" s="27"/>
    </row>
    <row r="8">
      <c r="A8" s="42"/>
      <c r="B8" s="43"/>
      <c r="C8" s="29"/>
      <c r="D8" s="25"/>
      <c r="E8" s="25"/>
      <c r="F8" s="25"/>
      <c r="G8" s="25"/>
      <c r="H8" s="25"/>
      <c r="I8" s="25"/>
      <c r="J8" s="25"/>
      <c r="K8" s="25"/>
      <c r="L8" s="25"/>
      <c r="M8" s="25"/>
      <c r="N8" s="27"/>
    </row>
    <row r="9">
      <c r="A9" s="42"/>
      <c r="B9" s="43"/>
      <c r="C9" s="29"/>
      <c r="D9" s="25"/>
      <c r="E9" s="25"/>
      <c r="F9" s="25"/>
      <c r="G9" s="25"/>
      <c r="H9" s="25"/>
      <c r="I9" s="25"/>
      <c r="J9" s="25"/>
      <c r="K9" s="25"/>
      <c r="L9" s="25"/>
      <c r="M9" s="25"/>
      <c r="N9" s="27"/>
    </row>
    <row r="10">
      <c r="A10" s="42"/>
      <c r="B10" s="41"/>
      <c r="C10" s="25"/>
      <c r="D10" s="25"/>
      <c r="E10" s="25"/>
      <c r="F10" s="25"/>
      <c r="G10" s="25"/>
      <c r="H10" s="25"/>
      <c r="I10" s="25"/>
      <c r="J10" s="25"/>
      <c r="K10" s="25"/>
      <c r="L10" s="25"/>
      <c r="M10" s="25"/>
      <c r="N10" s="27"/>
    </row>
    <row r="11">
      <c r="A11" s="42"/>
      <c r="B11" s="29"/>
      <c r="C11" s="25"/>
      <c r="D11" s="25"/>
      <c r="E11" s="25"/>
      <c r="F11" s="25"/>
      <c r="G11" s="25"/>
      <c r="H11" s="25"/>
      <c r="I11" s="25"/>
      <c r="J11" s="25"/>
      <c r="K11" s="25"/>
      <c r="L11" s="25"/>
      <c r="M11" s="25"/>
      <c r="N11" s="27"/>
    </row>
    <row r="12" ht="20.25" customHeight="1">
      <c r="A12" s="44"/>
      <c r="B12" s="29"/>
      <c r="C12" s="25"/>
      <c r="D12" s="25"/>
      <c r="E12" s="25"/>
      <c r="F12" s="25"/>
      <c r="G12" s="25"/>
      <c r="H12" s="25"/>
      <c r="I12" s="25"/>
      <c r="J12" s="25"/>
      <c r="K12" s="25"/>
      <c r="L12" s="25"/>
      <c r="M12" s="25"/>
      <c r="N12" s="27"/>
    </row>
    <row r="13" ht="1.5" customHeight="1">
      <c r="A13" s="35"/>
      <c r="B13" s="36"/>
      <c r="C13" s="37"/>
      <c r="D13" s="37"/>
      <c r="E13" s="37"/>
      <c r="F13" s="37"/>
      <c r="G13" s="37"/>
      <c r="H13" s="37"/>
      <c r="I13" s="37"/>
      <c r="J13" s="37"/>
      <c r="K13" s="37"/>
      <c r="L13" s="37"/>
      <c r="M13" s="37"/>
      <c r="N13" s="27"/>
    </row>
    <row r="14">
      <c r="A14" s="45" t="s">
        <v>240</v>
      </c>
      <c r="B14" s="29"/>
      <c r="C14" s="25"/>
      <c r="D14" s="25"/>
      <c r="E14" s="25"/>
      <c r="F14" s="25"/>
      <c r="G14" s="25"/>
      <c r="H14" s="25"/>
      <c r="I14" s="25"/>
      <c r="J14" s="25"/>
      <c r="K14" s="25"/>
      <c r="L14" s="25"/>
      <c r="M14" s="25"/>
      <c r="N14" s="27"/>
    </row>
    <row r="15">
      <c r="A15" s="42"/>
      <c r="B15" s="29"/>
      <c r="C15" s="25"/>
      <c r="D15" s="25"/>
      <c r="E15" s="25"/>
      <c r="F15" s="25"/>
      <c r="G15" s="25"/>
      <c r="H15" s="25"/>
      <c r="I15" s="25"/>
      <c r="J15" s="25"/>
      <c r="K15" s="25"/>
      <c r="L15" s="25"/>
      <c r="M15" s="25"/>
      <c r="N15" s="27"/>
    </row>
    <row r="16" ht="23.25" customHeight="1">
      <c r="A16" s="42"/>
      <c r="B16" s="29"/>
      <c r="C16" s="25"/>
      <c r="D16" s="25"/>
      <c r="E16" s="25"/>
      <c r="F16" s="25"/>
      <c r="G16" s="25"/>
      <c r="H16" s="25"/>
      <c r="I16" s="25"/>
      <c r="J16" s="25"/>
      <c r="K16" s="25"/>
      <c r="L16" s="25"/>
      <c r="M16" s="25"/>
      <c r="N16" s="27"/>
    </row>
    <row r="17" ht="2.25" customHeight="1">
      <c r="A17" s="46"/>
      <c r="B17" s="29"/>
      <c r="C17" s="25"/>
      <c r="D17" s="25"/>
      <c r="E17" s="25"/>
      <c r="F17" s="25"/>
      <c r="G17" s="25"/>
      <c r="H17" s="25"/>
      <c r="I17" s="25"/>
      <c r="J17" s="25"/>
      <c r="K17" s="25"/>
      <c r="L17" s="25"/>
      <c r="M17" s="25"/>
      <c r="N17" s="27"/>
    </row>
    <row r="18" ht="15.0" customHeight="1">
      <c r="A18" s="47" t="s">
        <v>241</v>
      </c>
      <c r="B18" s="48"/>
      <c r="C18" s="49"/>
      <c r="D18" s="49"/>
      <c r="E18" s="49"/>
      <c r="F18" s="49"/>
      <c r="G18" s="49"/>
      <c r="H18" s="49"/>
      <c r="I18" s="49"/>
      <c r="J18" s="49"/>
      <c r="K18" s="49"/>
      <c r="L18" s="49"/>
      <c r="M18" s="49"/>
      <c r="N18" s="27"/>
    </row>
    <row r="19">
      <c r="A19" s="50"/>
      <c r="B19" s="51"/>
      <c r="C19" s="52"/>
      <c r="D19" s="52"/>
      <c r="E19" s="52"/>
      <c r="F19" s="52"/>
      <c r="G19" s="52"/>
      <c r="H19" s="52"/>
      <c r="I19" s="52"/>
      <c r="J19" s="52"/>
      <c r="K19" s="52"/>
      <c r="L19" s="52"/>
      <c r="M19" s="52"/>
    </row>
    <row r="20">
      <c r="A20" s="50"/>
      <c r="B20" s="51"/>
      <c r="C20" s="52"/>
      <c r="D20" s="52"/>
      <c r="E20" s="52"/>
      <c r="F20" s="52"/>
      <c r="G20" s="52"/>
      <c r="H20" s="52"/>
      <c r="I20" s="52"/>
      <c r="J20" s="52"/>
      <c r="K20" s="52"/>
      <c r="L20" s="52"/>
      <c r="M20" s="52"/>
    </row>
    <row r="21" ht="36.0" customHeight="1">
      <c r="A21" s="50"/>
      <c r="B21" s="51"/>
      <c r="C21" s="52"/>
      <c r="D21" s="52"/>
      <c r="E21" s="52"/>
      <c r="F21" s="52"/>
      <c r="G21" s="52"/>
      <c r="H21" s="52"/>
      <c r="I21" s="52"/>
      <c r="J21" s="52"/>
      <c r="K21" s="52"/>
      <c r="L21" s="52"/>
      <c r="M21" s="52"/>
    </row>
    <row r="22" ht="3.0" customHeight="1">
      <c r="A22" s="50"/>
      <c r="B22" s="53"/>
      <c r="C22" s="54"/>
      <c r="D22" s="54"/>
      <c r="E22" s="54"/>
      <c r="F22" s="54"/>
      <c r="G22" s="54"/>
      <c r="H22" s="54"/>
      <c r="I22" s="54"/>
      <c r="J22" s="54"/>
      <c r="K22" s="54"/>
      <c r="L22" s="54"/>
      <c r="M22" s="54"/>
    </row>
    <row r="23">
      <c r="A23" s="31"/>
      <c r="B23" s="25"/>
      <c r="C23" s="25"/>
      <c r="D23" s="25"/>
      <c r="E23" s="25"/>
      <c r="F23" s="55"/>
      <c r="G23" s="25"/>
      <c r="H23" s="25"/>
      <c r="I23" s="25"/>
      <c r="J23" s="25"/>
      <c r="K23" s="25"/>
      <c r="L23" s="25"/>
      <c r="M23" s="25"/>
      <c r="N23" s="27"/>
    </row>
    <row r="24">
      <c r="A24" s="25"/>
      <c r="B24" s="25"/>
      <c r="C24" s="25"/>
      <c r="D24" s="25"/>
      <c r="E24" s="25"/>
      <c r="F24" s="55"/>
      <c r="G24" s="25"/>
      <c r="H24" s="25"/>
      <c r="I24" s="25"/>
      <c r="J24" s="25"/>
      <c r="K24" s="25"/>
      <c r="L24" s="25"/>
      <c r="M24" s="25"/>
      <c r="N24" s="27"/>
    </row>
  </sheetData>
  <mergeCells count="16">
    <mergeCell ref="A6:A12"/>
    <mergeCell ref="A14:A16"/>
    <mergeCell ref="A18:A22"/>
    <mergeCell ref="B18:B22"/>
    <mergeCell ref="C18:C22"/>
    <mergeCell ref="D18:D22"/>
    <mergeCell ref="E18:E22"/>
    <mergeCell ref="M18:M22"/>
    <mergeCell ref="N18:N22"/>
    <mergeCell ref="F18:F22"/>
    <mergeCell ref="G18:G22"/>
    <mergeCell ref="H18:H22"/>
    <mergeCell ref="I18:I22"/>
    <mergeCell ref="J18:J22"/>
    <mergeCell ref="K18:K22"/>
    <mergeCell ref="L18:L22"/>
  </mergeCells>
  <printOptions horizontalCentered="1"/>
  <pageMargins bottom="0.003937007874015748" footer="0.0" header="0.0" left="0.03937007874015748" right="0.03937007874015748" top="0.003937007874015748"/>
  <pageSetup fitToHeight="0" orientation="landscape" pageOrder="overThenDown" paperHeight="5.551181102362204in" paperWidth="11.69291338582677in"/>
  <drawing r:id="rId1"/>
</worksheet>
</file>